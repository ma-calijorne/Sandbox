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cuments\Mini Optma\planilhas_finais\"/>
    </mc:Choice>
  </mc:AlternateContent>
  <xr:revisionPtr revIDLastSave="0" documentId="13_ncr:1_{8CA532E2-C78D-4A16-BEC1-B86C3FC4BDB5}" xr6:coauthVersionLast="40" xr6:coauthVersionMax="40" xr10:uidLastSave="{00000000-0000-0000-0000-000000000000}"/>
  <bookViews>
    <workbookView xWindow="0" yWindow="0" windowWidth="24000" windowHeight="9675" xr2:uid="{E9C25D82-2028-418B-9F3F-0D0F1A4B4224}"/>
  </bookViews>
  <sheets>
    <sheet name="Sheet1" sheetId="1" r:id="rId1"/>
    <sheet name="Sheet2" sheetId="2" r:id="rId2"/>
    <sheet name="Sheet3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7" i="1" l="1"/>
  <c r="M3" i="1" l="1"/>
  <c r="M4" i="1"/>
  <c r="M5" i="1"/>
  <c r="M6" i="1"/>
  <c r="M7" i="1"/>
  <c r="M8" i="1"/>
  <c r="M9" i="1"/>
  <c r="M10" i="1"/>
  <c r="M11" i="1"/>
  <c r="M12" i="1"/>
  <c r="M13" i="1"/>
  <c r="M2" i="1"/>
  <c r="F2" i="1"/>
  <c r="M17" i="1" l="1"/>
  <c r="C6" i="3"/>
  <c r="E6" i="3"/>
  <c r="B4" i="2"/>
  <c r="B13" i="1"/>
  <c r="B8" i="1"/>
  <c r="F8" i="1" s="1"/>
  <c r="E8" i="3"/>
  <c r="D3" i="3"/>
  <c r="D4" i="3"/>
  <c r="D5" i="3"/>
  <c r="D6" i="3"/>
  <c r="D7" i="3"/>
  <c r="D8" i="3"/>
  <c r="D9" i="3"/>
  <c r="D10" i="3"/>
  <c r="D11" i="3"/>
  <c r="D12" i="3"/>
  <c r="D13" i="3"/>
  <c r="D2" i="3"/>
  <c r="E2" i="3"/>
  <c r="E3" i="3"/>
  <c r="E4" i="3"/>
  <c r="E5" i="3"/>
  <c r="E7" i="3"/>
  <c r="E9" i="3"/>
  <c r="E10" i="3"/>
  <c r="E11" i="3"/>
  <c r="E12" i="3"/>
  <c r="B5" i="1"/>
  <c r="K5" i="1" s="1"/>
  <c r="B3" i="1"/>
  <c r="K3" i="1" s="1"/>
  <c r="B4" i="1"/>
  <c r="F4" i="1" s="1"/>
  <c r="B7" i="1"/>
  <c r="F7" i="1" s="1"/>
  <c r="B9" i="1"/>
  <c r="I9" i="1" s="1"/>
  <c r="B10" i="1"/>
  <c r="F10" i="1" s="1"/>
  <c r="B11" i="1"/>
  <c r="F11" i="1" s="1"/>
  <c r="B12" i="1"/>
  <c r="F12" i="1" s="1"/>
  <c r="B2" i="1"/>
  <c r="I2" i="1" s="1"/>
  <c r="A3" i="3"/>
  <c r="A4" i="3"/>
  <c r="A5" i="3"/>
  <c r="A6" i="3"/>
  <c r="A7" i="3"/>
  <c r="A8" i="3"/>
  <c r="A9" i="3"/>
  <c r="A10" i="3"/>
  <c r="A11" i="3"/>
  <c r="A12" i="3"/>
  <c r="A13" i="3"/>
  <c r="A2" i="3"/>
  <c r="I11" i="1"/>
  <c r="E9" i="1"/>
  <c r="K7" i="1"/>
  <c r="K11" i="1" l="1"/>
  <c r="K9" i="1"/>
  <c r="E10" i="1"/>
  <c r="E2" i="1"/>
  <c r="F9" i="1"/>
  <c r="I10" i="1"/>
  <c r="K2" i="1"/>
  <c r="I4" i="1"/>
  <c r="I12" i="1"/>
  <c r="I7" i="1"/>
  <c r="K10" i="1"/>
  <c r="I13" i="1"/>
  <c r="E13" i="1"/>
  <c r="K13" i="1"/>
  <c r="F13" i="1"/>
  <c r="E13" i="3"/>
  <c r="B6" i="1"/>
  <c r="I6" i="1" s="1"/>
  <c r="F3" i="1"/>
  <c r="D14" i="3"/>
  <c r="D2" i="2" s="1"/>
  <c r="E14" i="3"/>
  <c r="D3" i="2" s="1"/>
  <c r="H3" i="2" s="1"/>
  <c r="E6" i="1"/>
  <c r="I8" i="1"/>
  <c r="E5" i="1"/>
  <c r="F5" i="1"/>
  <c r="I5" i="1"/>
  <c r="I3" i="1"/>
  <c r="K4" i="1"/>
  <c r="K8" i="1"/>
  <c r="K12" i="1"/>
  <c r="E3" i="1"/>
  <c r="E4" i="1"/>
  <c r="E7" i="1"/>
  <c r="E8" i="1"/>
  <c r="E11" i="1"/>
  <c r="E12" i="1"/>
  <c r="F4" i="2" l="1"/>
  <c r="E2" i="2"/>
  <c r="H2" i="2"/>
  <c r="I15" i="1"/>
  <c r="D4" i="2"/>
  <c r="E3" i="2"/>
  <c r="K6" i="1"/>
  <c r="K16" i="1" s="1"/>
  <c r="F6" i="1"/>
  <c r="F14" i="1" s="1"/>
  <c r="E14" i="1"/>
  <c r="F15" i="1" l="1"/>
  <c r="E15" i="1"/>
</calcChain>
</file>

<file path=xl/sharedStrings.xml><?xml version="1.0" encoding="utf-8"?>
<sst xmlns="http://schemas.openxmlformats.org/spreadsheetml/2006/main" count="37" uniqueCount="28">
  <si>
    <t>Produto</t>
  </si>
  <si>
    <t>Custo Unt Produção</t>
  </si>
  <si>
    <t>lucro/custo</t>
  </si>
  <si>
    <t>Custo</t>
  </si>
  <si>
    <t>Lucro</t>
  </si>
  <si>
    <t>Elasticidade Vendas</t>
  </si>
  <si>
    <t xml:space="preserve"># Vendas </t>
  </si>
  <si>
    <t>Total</t>
  </si>
  <si>
    <t>Meta Lucro</t>
  </si>
  <si>
    <t>Meta Custo</t>
  </si>
  <si>
    <t>Linha de Produção</t>
  </si>
  <si>
    <t>Capacidade Produtiva (horas)</t>
  </si>
  <si>
    <t>Custo/hora</t>
  </si>
  <si>
    <t>Linha</t>
  </si>
  <si>
    <t>Tempo de Produção/unidade</t>
  </si>
  <si>
    <t>Horas Utilizadas</t>
  </si>
  <si>
    <t>-</t>
  </si>
  <si>
    <t>Max Horas Extras</t>
  </si>
  <si>
    <t>Status Horas Normais</t>
  </si>
  <si>
    <t>Status Horas Extras</t>
  </si>
  <si>
    <t>Multa/Hora Extra</t>
  </si>
  <si>
    <t>Total Produção</t>
  </si>
  <si>
    <t>Total Após Multa</t>
  </si>
  <si>
    <t>Lucro ótimo</t>
  </si>
  <si>
    <t>Tempo Total Produção Linha 1</t>
  </si>
  <si>
    <t>Tempo Total Produção Linha 2</t>
  </si>
  <si>
    <t>Demanda</t>
  </si>
  <si>
    <t>Custo Multa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</si>
</sst>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499984740745262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2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44" fontId="2" fillId="2" borderId="2" xfId="2" applyFont="1" applyFill="1" applyBorder="1" applyAlignment="1">
      <alignment horizontal="center" vertical="center"/>
    </xf>
    <xf numFmtId="9" fontId="2" fillId="2" borderId="2" xfId="3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1" fontId="2" fillId="2" borderId="2" xfId="1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44" fontId="0" fillId="2" borderId="0" xfId="2" applyFont="1" applyFill="1" applyAlignment="1">
      <alignment horizontal="center"/>
    </xf>
    <xf numFmtId="9" fontId="0" fillId="2" borderId="0" xfId="3" applyFont="1" applyFill="1" applyAlignment="1">
      <alignment horizontal="center"/>
    </xf>
    <xf numFmtId="44" fontId="0" fillId="2" borderId="5" xfId="0" applyNumberFormat="1" applyFill="1" applyBorder="1" applyAlignment="1">
      <alignment horizontal="center"/>
    </xf>
    <xf numFmtId="1" fontId="3" fillId="2" borderId="0" xfId="1" applyNumberFormat="1" applyFont="1" applyFill="1" applyBorder="1" applyAlignment="1">
      <alignment horizontal="center"/>
    </xf>
    <xf numFmtId="44" fontId="3" fillId="2" borderId="6" xfId="0" applyNumberFormat="1" applyFont="1" applyFill="1" applyBorder="1" applyAlignment="1">
      <alignment horizontal="center"/>
    </xf>
    <xf numFmtId="1" fontId="3" fillId="2" borderId="0" xfId="0" applyNumberFormat="1" applyFont="1" applyFill="1" applyBorder="1" applyAlignment="1">
      <alignment horizontal="center"/>
    </xf>
    <xf numFmtId="44" fontId="3" fillId="2" borderId="6" xfId="2" applyFont="1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44" fontId="0" fillId="2" borderId="7" xfId="2" applyFont="1" applyFill="1" applyBorder="1" applyAlignment="1">
      <alignment horizontal="center"/>
    </xf>
    <xf numFmtId="9" fontId="0" fillId="2" borderId="7" xfId="3" applyFont="1" applyFill="1" applyBorder="1" applyAlignment="1">
      <alignment horizontal="center"/>
    </xf>
    <xf numFmtId="44" fontId="0" fillId="3" borderId="7" xfId="2" applyFont="1" applyFill="1" applyBorder="1" applyAlignment="1">
      <alignment horizontal="center"/>
    </xf>
    <xf numFmtId="44" fontId="0" fillId="2" borderId="9" xfId="2" applyFont="1" applyFill="1" applyBorder="1" applyAlignment="1">
      <alignment horizontal="center"/>
    </xf>
    <xf numFmtId="0" fontId="0" fillId="0" borderId="0" xfId="0" applyAlignment="1">
      <alignment horizontal="center"/>
    </xf>
    <xf numFmtId="44" fontId="0" fillId="0" borderId="0" xfId="2" applyFont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6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2" fontId="0" fillId="2" borderId="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44" fontId="0" fillId="2" borderId="0" xfId="2" applyFon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2" fontId="0" fillId="2" borderId="11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4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9" fontId="0" fillId="0" borderId="0" xfId="3" applyFont="1" applyAlignment="1">
      <alignment horizontal="center"/>
    </xf>
    <xf numFmtId="44" fontId="0" fillId="2" borderId="7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44" fontId="2" fillId="2" borderId="3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44" fontId="0" fillId="2" borderId="0" xfId="0" applyNumberFormat="1" applyFill="1" applyAlignment="1">
      <alignment horizontal="center"/>
    </xf>
    <xf numFmtId="0" fontId="2" fillId="2" borderId="11" xfId="0" applyFont="1" applyFill="1" applyBorder="1" applyAlignment="1">
      <alignment horizontal="center" vertical="center"/>
    </xf>
    <xf numFmtId="44" fontId="0" fillId="2" borderId="0" xfId="0" applyNumberFormat="1" applyFill="1" applyBorder="1" applyAlignment="1">
      <alignment horizontal="center"/>
    </xf>
    <xf numFmtId="44" fontId="2" fillId="2" borderId="7" xfId="2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44" fontId="0" fillId="2" borderId="3" xfId="0" applyNumberFormat="1" applyFill="1" applyBorder="1" applyAlignment="1">
      <alignment horizontal="center"/>
    </xf>
    <xf numFmtId="44" fontId="0" fillId="3" borderId="7" xfId="2" applyFont="1" applyFill="1" applyBorder="1" applyAlignment="1">
      <alignment horizontal="center" vertical="center"/>
    </xf>
    <xf numFmtId="9" fontId="0" fillId="3" borderId="6" xfId="3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0" borderId="5" xfId="0" applyBorder="1" applyAlignment="1">
      <alignment horizontal="center"/>
    </xf>
    <xf numFmtId="1" fontId="2" fillId="2" borderId="0" xfId="1" applyNumberFormat="1" applyFont="1" applyFill="1" applyBorder="1" applyAlignment="1">
      <alignment horizontal="center"/>
    </xf>
    <xf numFmtId="44" fontId="0" fillId="2" borderId="6" xfId="2" applyFont="1" applyFill="1" applyBorder="1" applyAlignment="1">
      <alignment horizontal="center"/>
    </xf>
    <xf numFmtId="44" fontId="4" fillId="2" borderId="7" xfId="2" applyFont="1" applyFill="1" applyBorder="1" applyAlignment="1">
      <alignment horizontal="center"/>
    </xf>
    <xf numFmtId="1" fontId="4" fillId="2" borderId="7" xfId="2" applyNumberFormat="1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4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rgb="FFFF0000"/>
          <bgColor rgb="FFFF0000"/>
        </patternFill>
      </fill>
    </dxf>
    <dxf>
      <fill>
        <patternFill>
          <fgColor rgb="FF00B050"/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9524</xdr:colOff>
          <xdr:row>0</xdr:row>
          <xdr:rowOff>9525</xdr:rowOff>
        </xdr:from>
        <xdr:to>
          <xdr:col>15</xdr:col>
          <xdr:colOff>609599</xdr:colOff>
          <xdr:row>1</xdr:row>
          <xdr:rowOff>180975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AB27D86-D47F-4FDB-B802-1DB711C44D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4A4CA-FF89-47CF-A335-670748EB3514}">
  <sheetPr codeName="Sheet1"/>
  <dimension ref="A1:N17"/>
  <sheetViews>
    <sheetView tabSelected="1" workbookViewId="0">
      <selection activeCell="N1" sqref="N1"/>
    </sheetView>
  </sheetViews>
  <sheetFormatPr defaultRowHeight="15" x14ac:dyDescent="0.25"/>
  <cols>
    <col min="1" max="1" width="8.140625" style="22" bestFit="1" customWidth="1"/>
    <col min="2" max="2" width="20.140625" style="22" bestFit="1" customWidth="1"/>
    <col min="3" max="3" width="11" style="22" bestFit="1" customWidth="1"/>
    <col min="4" max="4" width="16.140625" style="22" bestFit="1" customWidth="1"/>
    <col min="5" max="5" width="13.28515625" style="22" bestFit="1" customWidth="1"/>
    <col min="6" max="6" width="12.140625" style="22" bestFit="1" customWidth="1"/>
    <col min="7" max="7" width="18.85546875" style="22" bestFit="1" customWidth="1"/>
    <col min="8" max="11" width="12.140625" style="22" bestFit="1" customWidth="1"/>
    <col min="12" max="12" width="15.42578125" style="22" customWidth="1"/>
    <col min="13" max="13" width="17.140625" style="22" customWidth="1"/>
    <col min="14" max="14" width="15.28515625" style="22" customWidth="1"/>
    <col min="15" max="16384" width="9.140625" style="22"/>
  </cols>
  <sheetData>
    <row r="1" spans="1:13" x14ac:dyDescent="0.25">
      <c r="A1" s="1" t="s">
        <v>0</v>
      </c>
      <c r="B1" s="2" t="s">
        <v>1</v>
      </c>
      <c r="C1" s="3" t="s">
        <v>2</v>
      </c>
      <c r="D1" s="4" t="s">
        <v>26</v>
      </c>
      <c r="E1" s="1" t="s">
        <v>3</v>
      </c>
      <c r="F1" s="2" t="s">
        <v>4</v>
      </c>
      <c r="G1" s="5" t="s">
        <v>5</v>
      </c>
      <c r="H1" s="6" t="s">
        <v>6</v>
      </c>
      <c r="I1" s="7" t="s">
        <v>3</v>
      </c>
      <c r="J1" s="6" t="s">
        <v>6</v>
      </c>
      <c r="K1" s="8" t="s">
        <v>4</v>
      </c>
      <c r="L1" s="6" t="s">
        <v>6</v>
      </c>
      <c r="M1" s="8" t="s">
        <v>4</v>
      </c>
    </row>
    <row r="2" spans="1:13" x14ac:dyDescent="0.25">
      <c r="A2" s="9">
        <v>1</v>
      </c>
      <c r="B2" s="10">
        <f>Sheet3!C2*Sheet2!$C$2</f>
        <v>30</v>
      </c>
      <c r="C2" s="11">
        <v>0.25</v>
      </c>
      <c r="D2" s="13">
        <v>15</v>
      </c>
      <c r="E2" s="12">
        <f>D2*B2</f>
        <v>450</v>
      </c>
      <c r="F2" s="10">
        <f>D2* B2*(C2)</f>
        <v>112.5</v>
      </c>
      <c r="G2" s="65">
        <v>0.1</v>
      </c>
      <c r="H2" s="13"/>
      <c r="I2" s="14">
        <f t="shared" ref="I2:I13" si="0">H2*B2</f>
        <v>0</v>
      </c>
      <c r="J2" s="15"/>
      <c r="K2" s="16">
        <f t="shared" ref="K2:K13" si="1">J2*B2*C2</f>
        <v>0</v>
      </c>
      <c r="L2" s="13"/>
      <c r="M2" s="14">
        <f>L2*B2*C2</f>
        <v>0</v>
      </c>
    </row>
    <row r="3" spans="1:13" x14ac:dyDescent="0.25">
      <c r="A3" s="9">
        <v>2</v>
      </c>
      <c r="B3" s="10">
        <f>Sheet3!C3*Sheet2!$C$3</f>
        <v>20.000000000000043</v>
      </c>
      <c r="C3" s="11">
        <v>0.21</v>
      </c>
      <c r="D3" s="13">
        <v>12</v>
      </c>
      <c r="E3" s="12">
        <f t="shared" ref="E3:E13" si="2">D3*B3</f>
        <v>240.00000000000051</v>
      </c>
      <c r="F3" s="10">
        <f t="shared" ref="F3:F13" si="3">D3*B3*(C3)</f>
        <v>50.400000000000105</v>
      </c>
      <c r="G3" s="65">
        <v>0.15</v>
      </c>
      <c r="H3" s="13"/>
      <c r="I3" s="14">
        <f t="shared" si="0"/>
        <v>0</v>
      </c>
      <c r="J3" s="15"/>
      <c r="K3" s="16">
        <f t="shared" si="1"/>
        <v>0</v>
      </c>
      <c r="L3" s="13"/>
      <c r="M3" s="14">
        <f t="shared" ref="M3:M13" si="4">L3*B3*C3</f>
        <v>0</v>
      </c>
    </row>
    <row r="4" spans="1:13" x14ac:dyDescent="0.25">
      <c r="A4" s="9">
        <v>3</v>
      </c>
      <c r="B4" s="10">
        <f>Sheet3!C4*Sheet2!$C$2</f>
        <v>40</v>
      </c>
      <c r="C4" s="11">
        <v>0.34</v>
      </c>
      <c r="D4" s="13">
        <v>10</v>
      </c>
      <c r="E4" s="12">
        <f t="shared" si="2"/>
        <v>400</v>
      </c>
      <c r="F4" s="10">
        <f t="shared" si="3"/>
        <v>136</v>
      </c>
      <c r="G4" s="65">
        <v>0.2</v>
      </c>
      <c r="H4" s="13"/>
      <c r="I4" s="14">
        <f t="shared" si="0"/>
        <v>0</v>
      </c>
      <c r="J4" s="15"/>
      <c r="K4" s="16">
        <f t="shared" si="1"/>
        <v>0</v>
      </c>
      <c r="L4" s="13"/>
      <c r="M4" s="14">
        <f t="shared" si="4"/>
        <v>0</v>
      </c>
    </row>
    <row r="5" spans="1:13" x14ac:dyDescent="0.25">
      <c r="A5" s="9">
        <v>4</v>
      </c>
      <c r="B5" s="10">
        <f>Sheet3!C5*Sheet2!$C$3</f>
        <v>30</v>
      </c>
      <c r="C5" s="11">
        <v>0.3</v>
      </c>
      <c r="D5" s="13">
        <v>16</v>
      </c>
      <c r="E5" s="12">
        <f t="shared" si="2"/>
        <v>480</v>
      </c>
      <c r="F5" s="10">
        <f t="shared" si="3"/>
        <v>144</v>
      </c>
      <c r="G5" s="65">
        <v>0.5</v>
      </c>
      <c r="H5" s="13"/>
      <c r="I5" s="14">
        <f t="shared" si="0"/>
        <v>0</v>
      </c>
      <c r="J5" s="15"/>
      <c r="K5" s="16">
        <f t="shared" si="1"/>
        <v>0</v>
      </c>
      <c r="L5" s="13"/>
      <c r="M5" s="14">
        <f t="shared" si="4"/>
        <v>0</v>
      </c>
    </row>
    <row r="6" spans="1:13" x14ac:dyDescent="0.25">
      <c r="A6" s="9">
        <v>5</v>
      </c>
      <c r="B6" s="10">
        <f>Sheet3!C6*Sheet2!$C$3</f>
        <v>50</v>
      </c>
      <c r="C6" s="11">
        <v>0.28999999999999998</v>
      </c>
      <c r="D6" s="13">
        <v>20</v>
      </c>
      <c r="E6" s="12">
        <f t="shared" si="2"/>
        <v>1000</v>
      </c>
      <c r="F6" s="10">
        <f t="shared" si="3"/>
        <v>290</v>
      </c>
      <c r="G6" s="65">
        <v>0.1</v>
      </c>
      <c r="H6" s="13"/>
      <c r="I6" s="14">
        <f t="shared" si="0"/>
        <v>0</v>
      </c>
      <c r="J6" s="15"/>
      <c r="K6" s="16">
        <f t="shared" si="1"/>
        <v>0</v>
      </c>
      <c r="L6" s="13"/>
      <c r="M6" s="14">
        <f t="shared" si="4"/>
        <v>0</v>
      </c>
    </row>
    <row r="7" spans="1:13" x14ac:dyDescent="0.25">
      <c r="A7" s="9">
        <v>6</v>
      </c>
      <c r="B7" s="10">
        <f>Sheet3!C7*Sheet2!$C$2</f>
        <v>60</v>
      </c>
      <c r="C7" s="11">
        <v>0.15</v>
      </c>
      <c r="D7" s="13">
        <v>30</v>
      </c>
      <c r="E7" s="12">
        <f t="shared" si="2"/>
        <v>1800</v>
      </c>
      <c r="F7" s="10">
        <f t="shared" si="3"/>
        <v>270</v>
      </c>
      <c r="G7" s="65">
        <v>0.6</v>
      </c>
      <c r="H7" s="13"/>
      <c r="I7" s="14">
        <f t="shared" si="0"/>
        <v>0</v>
      </c>
      <c r="J7" s="15"/>
      <c r="K7" s="16">
        <f t="shared" si="1"/>
        <v>0</v>
      </c>
      <c r="L7" s="13"/>
      <c r="M7" s="14">
        <f t="shared" si="4"/>
        <v>0</v>
      </c>
    </row>
    <row r="8" spans="1:13" x14ac:dyDescent="0.25">
      <c r="A8" s="9">
        <v>7</v>
      </c>
      <c r="B8" s="10">
        <f>Sheet3!C8*Sheet2!$C$3</f>
        <v>15</v>
      </c>
      <c r="C8" s="11">
        <v>0.25</v>
      </c>
      <c r="D8" s="13">
        <v>20</v>
      </c>
      <c r="E8" s="12">
        <f t="shared" si="2"/>
        <v>300</v>
      </c>
      <c r="F8" s="10">
        <f t="shared" si="3"/>
        <v>75</v>
      </c>
      <c r="G8" s="65">
        <v>1</v>
      </c>
      <c r="H8" s="13"/>
      <c r="I8" s="14">
        <f t="shared" si="0"/>
        <v>0</v>
      </c>
      <c r="J8" s="15"/>
      <c r="K8" s="16">
        <f t="shared" si="1"/>
        <v>0</v>
      </c>
      <c r="L8" s="13"/>
      <c r="M8" s="14">
        <f t="shared" si="4"/>
        <v>0</v>
      </c>
    </row>
    <row r="9" spans="1:13" x14ac:dyDescent="0.25">
      <c r="A9" s="9">
        <v>8</v>
      </c>
      <c r="B9" s="10">
        <f>Sheet3!C9*Sheet2!$C$2</f>
        <v>18</v>
      </c>
      <c r="C9" s="11">
        <v>0.12</v>
      </c>
      <c r="D9" s="13">
        <v>100</v>
      </c>
      <c r="E9" s="12">
        <f t="shared" si="2"/>
        <v>1800</v>
      </c>
      <c r="F9" s="10">
        <f t="shared" si="3"/>
        <v>216</v>
      </c>
      <c r="G9" s="65">
        <v>0.3</v>
      </c>
      <c r="H9" s="13"/>
      <c r="I9" s="14">
        <f t="shared" si="0"/>
        <v>0</v>
      </c>
      <c r="J9" s="15"/>
      <c r="K9" s="16">
        <f t="shared" si="1"/>
        <v>0</v>
      </c>
      <c r="L9" s="13"/>
      <c r="M9" s="14">
        <f t="shared" si="4"/>
        <v>0</v>
      </c>
    </row>
    <row r="10" spans="1:13" x14ac:dyDescent="0.25">
      <c r="A10" s="9">
        <v>9</v>
      </c>
      <c r="B10" s="10">
        <f>Sheet3!C10*Sheet2!$C$2</f>
        <v>26</v>
      </c>
      <c r="C10" s="11">
        <v>0.26</v>
      </c>
      <c r="D10" s="13">
        <v>50</v>
      </c>
      <c r="E10" s="12">
        <f t="shared" si="2"/>
        <v>1300</v>
      </c>
      <c r="F10" s="10">
        <f t="shared" si="3"/>
        <v>338</v>
      </c>
      <c r="G10" s="65">
        <v>0.16</v>
      </c>
      <c r="H10" s="13"/>
      <c r="I10" s="14">
        <f t="shared" si="0"/>
        <v>0</v>
      </c>
      <c r="J10" s="15"/>
      <c r="K10" s="16">
        <f t="shared" si="1"/>
        <v>0</v>
      </c>
      <c r="L10" s="13"/>
      <c r="M10" s="14">
        <f t="shared" si="4"/>
        <v>0</v>
      </c>
    </row>
    <row r="11" spans="1:13" x14ac:dyDescent="0.25">
      <c r="A11" s="9">
        <v>10</v>
      </c>
      <c r="B11" s="10">
        <f>Sheet3!C11*Sheet2!$C$2</f>
        <v>31</v>
      </c>
      <c r="C11" s="11">
        <v>0.31</v>
      </c>
      <c r="D11" s="13">
        <v>12</v>
      </c>
      <c r="E11" s="12">
        <f t="shared" si="2"/>
        <v>372</v>
      </c>
      <c r="F11" s="10">
        <f t="shared" si="3"/>
        <v>115.32</v>
      </c>
      <c r="G11" s="65">
        <v>0.12</v>
      </c>
      <c r="H11" s="13"/>
      <c r="I11" s="14">
        <f t="shared" si="0"/>
        <v>0</v>
      </c>
      <c r="J11" s="15"/>
      <c r="K11" s="16">
        <f t="shared" si="1"/>
        <v>0</v>
      </c>
      <c r="L11" s="13"/>
      <c r="M11" s="14">
        <f t="shared" si="4"/>
        <v>0</v>
      </c>
    </row>
    <row r="12" spans="1:13" x14ac:dyDescent="0.25">
      <c r="A12" s="9">
        <v>11</v>
      </c>
      <c r="B12" s="10">
        <f>Sheet3!C12*Sheet2!$C$2</f>
        <v>10</v>
      </c>
      <c r="C12" s="11">
        <v>0.28999999999999998</v>
      </c>
      <c r="D12" s="13">
        <v>50</v>
      </c>
      <c r="E12" s="12">
        <f t="shared" si="2"/>
        <v>500</v>
      </c>
      <c r="F12" s="10">
        <f t="shared" si="3"/>
        <v>145</v>
      </c>
      <c r="G12" s="65">
        <v>0.32</v>
      </c>
      <c r="H12" s="13"/>
      <c r="I12" s="14">
        <f t="shared" si="0"/>
        <v>0</v>
      </c>
      <c r="J12" s="15"/>
      <c r="K12" s="16">
        <f t="shared" si="1"/>
        <v>0</v>
      </c>
      <c r="L12" s="13"/>
      <c r="M12" s="14">
        <f t="shared" si="4"/>
        <v>0</v>
      </c>
    </row>
    <row r="13" spans="1:13" x14ac:dyDescent="0.25">
      <c r="A13" s="17">
        <v>12</v>
      </c>
      <c r="B13" s="18">
        <f>Sheet3!C13*Sheet2!$C$3</f>
        <v>45</v>
      </c>
      <c r="C13" s="19">
        <v>0.3</v>
      </c>
      <c r="D13" s="13">
        <v>15</v>
      </c>
      <c r="E13" s="12">
        <f t="shared" si="2"/>
        <v>675</v>
      </c>
      <c r="F13" s="10">
        <f t="shared" si="3"/>
        <v>202.5</v>
      </c>
      <c r="G13" s="65">
        <v>0.46</v>
      </c>
      <c r="H13" s="13"/>
      <c r="I13" s="14">
        <f t="shared" si="0"/>
        <v>0</v>
      </c>
      <c r="J13" s="15"/>
      <c r="K13" s="16">
        <f t="shared" si="1"/>
        <v>0</v>
      </c>
      <c r="L13" s="13"/>
      <c r="M13" s="14">
        <f t="shared" si="4"/>
        <v>0</v>
      </c>
    </row>
    <row r="14" spans="1:13" x14ac:dyDescent="0.25">
      <c r="A14" s="51"/>
      <c r="B14" s="23"/>
      <c r="C14" s="52"/>
      <c r="D14" s="59" t="s">
        <v>21</v>
      </c>
      <c r="E14" s="60">
        <f>SUM(E2:E13)</f>
        <v>9317</v>
      </c>
      <c r="F14" s="41">
        <f>SUM(F2:F13)</f>
        <v>2094.7200000000003</v>
      </c>
      <c r="G14" s="54"/>
      <c r="H14" s="68" t="s">
        <v>27</v>
      </c>
      <c r="I14" s="69">
        <v>0</v>
      </c>
      <c r="J14" s="32"/>
      <c r="K14" s="55"/>
      <c r="L14" s="32"/>
      <c r="M14" s="55"/>
    </row>
    <row r="15" spans="1:13" x14ac:dyDescent="0.25">
      <c r="D15" s="62" t="s">
        <v>22</v>
      </c>
      <c r="E15" s="53">
        <f>E14+Sheet2!F4</f>
        <v>9441.4</v>
      </c>
      <c r="F15" s="63">
        <f>F14-Sheet2!F4</f>
        <v>1970.3200000000002</v>
      </c>
      <c r="G15" s="61" t="s">
        <v>8</v>
      </c>
      <c r="H15" s="64">
        <v>2500</v>
      </c>
      <c r="I15" s="56">
        <f>SUM(I2:I13)+I14</f>
        <v>0</v>
      </c>
      <c r="J15" s="68" t="s">
        <v>27</v>
      </c>
      <c r="K15" s="69">
        <v>0</v>
      </c>
      <c r="L15" s="32"/>
      <c r="M15" s="55"/>
    </row>
    <row r="16" spans="1:13" x14ac:dyDescent="0.25">
      <c r="I16" s="57" t="s">
        <v>9</v>
      </c>
      <c r="J16" s="20">
        <v>9000</v>
      </c>
      <c r="K16" s="21">
        <f>SUM(K2:K13)-K15</f>
        <v>0</v>
      </c>
      <c r="L16" s="68" t="s">
        <v>27</v>
      </c>
      <c r="M16" s="69">
        <v>0</v>
      </c>
    </row>
    <row r="17" spans="11:14" x14ac:dyDescent="0.25">
      <c r="K17" s="25" t="s">
        <v>23</v>
      </c>
      <c r="L17" s="71">
        <f>SUM(L2:L13)</f>
        <v>0</v>
      </c>
      <c r="M17" s="70">
        <f>SUM(M2:M13)-M16</f>
        <v>0</v>
      </c>
      <c r="N17" s="6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14</xdr:col>
                <xdr:colOff>9525</xdr:colOff>
                <xdr:row>0</xdr:row>
                <xdr:rowOff>9525</xdr:rowOff>
              </from>
              <to>
                <xdr:col>15</xdr:col>
                <xdr:colOff>609600</xdr:colOff>
                <xdr:row>1</xdr:row>
                <xdr:rowOff>180975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EDCD5-7343-4F21-9D9E-185574759ED4}">
  <sheetPr codeName="Sheet2"/>
  <dimension ref="A1:H8"/>
  <sheetViews>
    <sheetView workbookViewId="0">
      <selection activeCell="F5" sqref="F5"/>
    </sheetView>
  </sheetViews>
  <sheetFormatPr defaultRowHeight="15" x14ac:dyDescent="0.25"/>
  <cols>
    <col min="1" max="1" width="17.42578125" style="22" bestFit="1" customWidth="1"/>
    <col min="2" max="2" width="27.42578125" style="22" bestFit="1" customWidth="1"/>
    <col min="3" max="3" width="10.85546875" style="22" bestFit="1" customWidth="1"/>
    <col min="4" max="4" width="15.140625" style="22" bestFit="1" customWidth="1"/>
    <col min="5" max="5" width="20" style="22" bestFit="1" customWidth="1"/>
    <col min="6" max="6" width="16.28515625" style="22" bestFit="1" customWidth="1"/>
    <col min="7" max="7" width="16" style="22" bestFit="1" customWidth="1"/>
    <col min="8" max="8" width="17.85546875" style="22" bestFit="1" customWidth="1"/>
    <col min="9" max="16384" width="9.140625" style="22"/>
  </cols>
  <sheetData>
    <row r="1" spans="1:8" s="24" customFormat="1" x14ac:dyDescent="0.25">
      <c r="A1" s="48" t="s">
        <v>10</v>
      </c>
      <c r="B1" s="48" t="s">
        <v>11</v>
      </c>
      <c r="C1" s="48" t="s">
        <v>12</v>
      </c>
      <c r="D1" s="48" t="s">
        <v>15</v>
      </c>
      <c r="E1" s="48" t="s">
        <v>18</v>
      </c>
      <c r="F1" s="48" t="s">
        <v>20</v>
      </c>
      <c r="G1" s="48" t="s">
        <v>17</v>
      </c>
      <c r="H1" s="48" t="s">
        <v>19</v>
      </c>
    </row>
    <row r="2" spans="1:8" x14ac:dyDescent="0.25">
      <c r="A2" s="31">
        <v>1</v>
      </c>
      <c r="B2" s="40">
        <v>600</v>
      </c>
      <c r="C2" s="41">
        <v>10</v>
      </c>
      <c r="D2" s="34">
        <f>Sheet3!D14</f>
        <v>662.2</v>
      </c>
      <c r="E2" s="49" t="str">
        <f>IF(D2&gt;B2,"Excede","ok")</f>
        <v>Excede</v>
      </c>
      <c r="F2" s="10">
        <v>2</v>
      </c>
      <c r="G2" s="66">
        <v>1300</v>
      </c>
      <c r="H2" s="9" t="str">
        <f>IF(D2&gt;B2+G2,"Excede","ok")</f>
        <v>ok</v>
      </c>
    </row>
    <row r="3" spans="1:8" x14ac:dyDescent="0.25">
      <c r="A3" s="35">
        <v>2</v>
      </c>
      <c r="B3" s="42">
        <v>1000</v>
      </c>
      <c r="C3" s="18">
        <v>12</v>
      </c>
      <c r="D3" s="36">
        <f>Sheet3!E14</f>
        <v>224.58333333333337</v>
      </c>
      <c r="E3" s="44" t="str">
        <f>IF(D3&gt;B3,"Número de horas superior ao máximo suportado","ok")</f>
        <v>ok</v>
      </c>
      <c r="F3" s="10">
        <v>2.5</v>
      </c>
      <c r="G3" s="66">
        <v>1200</v>
      </c>
      <c r="H3" s="9" t="str">
        <f>IF(D3&gt;B3+G3,"Número de horas superior ao máximo suportado","ok")</f>
        <v>ok</v>
      </c>
    </row>
    <row r="4" spans="1:8" x14ac:dyDescent="0.25">
      <c r="A4" s="25" t="s">
        <v>7</v>
      </c>
      <c r="B4" s="43">
        <f>SUM(B2:B3)</f>
        <v>1600</v>
      </c>
      <c r="C4" s="38" t="s">
        <v>16</v>
      </c>
      <c r="D4" s="37">
        <f>SUM(D2:D3)</f>
        <v>886.78333333333342</v>
      </c>
      <c r="E4" s="39"/>
      <c r="F4" s="58">
        <f>MIN(MAX(D2-B2,0),G2)*(F2)+MIN(MAX(D3-B3,0),G3)*(F3)</f>
        <v>124.40000000000009</v>
      </c>
      <c r="G4" s="9"/>
      <c r="H4" s="9"/>
    </row>
    <row r="5" spans="1:8" x14ac:dyDescent="0.25">
      <c r="D5" s="50"/>
      <c r="F5" s="23"/>
    </row>
    <row r="6" spans="1:8" x14ac:dyDescent="0.25">
      <c r="D6" s="50"/>
      <c r="F6" s="23"/>
    </row>
    <row r="8" spans="1:8" x14ac:dyDescent="0.25">
      <c r="D8" s="50"/>
      <c r="F8" s="50"/>
    </row>
  </sheetData>
  <conditionalFormatting sqref="E2">
    <cfRule type="expression" dxfId="3" priority="3">
      <formula>$B$2&gt;=$D$2</formula>
    </cfRule>
    <cfRule type="expression" dxfId="2" priority="4">
      <formula>$D$2&gt;$B$2</formula>
    </cfRule>
  </conditionalFormatting>
  <conditionalFormatting sqref="E3">
    <cfRule type="expression" dxfId="1" priority="1">
      <formula>$D$3&gt;$B$3</formula>
    </cfRule>
    <cfRule type="expression" dxfId="0" priority="2">
      <formula>$B$3&gt;=$D$3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48BE8-1666-4152-9FF6-441E73F0EF13}">
  <sheetPr codeName="Sheet3"/>
  <dimension ref="A1:E14"/>
  <sheetViews>
    <sheetView workbookViewId="0">
      <selection activeCell="D14" sqref="D14"/>
    </sheetView>
  </sheetViews>
  <sheetFormatPr defaultRowHeight="15" x14ac:dyDescent="0.25"/>
  <cols>
    <col min="1" max="2" width="9.140625" style="22"/>
    <col min="3" max="3" width="27.28515625" style="22" bestFit="1" customWidth="1"/>
    <col min="4" max="5" width="27.85546875" style="22" bestFit="1" customWidth="1"/>
    <col min="6" max="16384" width="9.140625" style="22"/>
  </cols>
  <sheetData>
    <row r="1" spans="1:5" x14ac:dyDescent="0.25">
      <c r="A1" s="25" t="s">
        <v>0</v>
      </c>
      <c r="B1" s="26" t="s">
        <v>13</v>
      </c>
      <c r="C1" s="26" t="s">
        <v>14</v>
      </c>
      <c r="D1" s="25" t="s">
        <v>24</v>
      </c>
      <c r="E1" s="7" t="s">
        <v>25</v>
      </c>
    </row>
    <row r="2" spans="1:5" x14ac:dyDescent="0.25">
      <c r="A2" s="27">
        <f>Sheet1!A2</f>
        <v>1</v>
      </c>
      <c r="B2" s="28">
        <v>1</v>
      </c>
      <c r="C2" s="29">
        <v>3</v>
      </c>
      <c r="D2" s="45">
        <f>IF(B2=1,C2*Sheet1!D2,0)</f>
        <v>45</v>
      </c>
      <c r="E2" s="30">
        <f>IF(B2=2,C2*Sheet1!D2,0)</f>
        <v>0</v>
      </c>
    </row>
    <row r="3" spans="1:5" x14ac:dyDescent="0.25">
      <c r="A3" s="31">
        <f>Sheet1!A3</f>
        <v>2</v>
      </c>
      <c r="B3" s="32">
        <v>2</v>
      </c>
      <c r="C3" s="33">
        <v>1.6666666666666701</v>
      </c>
      <c r="D3" s="46">
        <f>IF(B3=1,C3*Sheet1!D3,0)</f>
        <v>0</v>
      </c>
      <c r="E3" s="34">
        <f>IF(B3=2,C3*Sheet1!D3,0)</f>
        <v>20.000000000000043</v>
      </c>
    </row>
    <row r="4" spans="1:5" x14ac:dyDescent="0.25">
      <c r="A4" s="31">
        <f>Sheet1!A4</f>
        <v>3</v>
      </c>
      <c r="B4" s="32">
        <v>1</v>
      </c>
      <c r="C4" s="33">
        <v>4</v>
      </c>
      <c r="D4" s="46">
        <f>IF(B4=1,C4*Sheet1!D4,0)</f>
        <v>40</v>
      </c>
      <c r="E4" s="34">
        <f>IF(B4=2,C4*Sheet1!D4,0)</f>
        <v>0</v>
      </c>
    </row>
    <row r="5" spans="1:5" x14ac:dyDescent="0.25">
      <c r="A5" s="31">
        <f>Sheet1!A5</f>
        <v>4</v>
      </c>
      <c r="B5" s="32">
        <v>2</v>
      </c>
      <c r="C5" s="33">
        <v>2.5</v>
      </c>
      <c r="D5" s="46">
        <f>IF(B5=1,C5*Sheet1!D5,0)</f>
        <v>0</v>
      </c>
      <c r="E5" s="34">
        <f>IF(B5=2,C5*Sheet1!D5,0)</f>
        <v>40</v>
      </c>
    </row>
    <row r="6" spans="1:5" x14ac:dyDescent="0.25">
      <c r="A6" s="31">
        <f>Sheet1!A6</f>
        <v>5</v>
      </c>
      <c r="B6" s="32">
        <v>2</v>
      </c>
      <c r="C6" s="33">
        <f>25/6</f>
        <v>4.166666666666667</v>
      </c>
      <c r="D6" s="46">
        <f>IF(B6=1,C6*Sheet1!D6,0)</f>
        <v>0</v>
      </c>
      <c r="E6" s="34">
        <f>IF(B6=2,C6*Sheet1!D6,0)</f>
        <v>83.333333333333343</v>
      </c>
    </row>
    <row r="7" spans="1:5" x14ac:dyDescent="0.25">
      <c r="A7" s="31">
        <f>Sheet1!A7</f>
        <v>6</v>
      </c>
      <c r="B7" s="32">
        <v>1</v>
      </c>
      <c r="C7" s="33">
        <v>6</v>
      </c>
      <c r="D7" s="46">
        <f>IF(B7=1,C7*Sheet1!D7,0)</f>
        <v>180</v>
      </c>
      <c r="E7" s="34">
        <f>IF(B7=2,C7*Sheet1!D7,0)</f>
        <v>0</v>
      </c>
    </row>
    <row r="8" spans="1:5" x14ac:dyDescent="0.25">
      <c r="A8" s="31">
        <f>Sheet1!A8</f>
        <v>7</v>
      </c>
      <c r="B8" s="32">
        <v>2</v>
      </c>
      <c r="C8" s="33">
        <v>1.25</v>
      </c>
      <c r="D8" s="46">
        <f>IF(B8=1,C8*Sheet1!D8,0)</f>
        <v>0</v>
      </c>
      <c r="E8" s="34">
        <f>IF(B8=2,C8*Sheet1!D8,0)</f>
        <v>25</v>
      </c>
    </row>
    <row r="9" spans="1:5" x14ac:dyDescent="0.25">
      <c r="A9" s="31">
        <f>Sheet1!A9</f>
        <v>8</v>
      </c>
      <c r="B9" s="32">
        <v>1</v>
      </c>
      <c r="C9" s="33">
        <v>1.8</v>
      </c>
      <c r="D9" s="46">
        <f>IF(B9=1,C9*Sheet1!D9,0)</f>
        <v>180</v>
      </c>
      <c r="E9" s="34">
        <f>IF(B9=2,C9*Sheet1!D9,0)</f>
        <v>0</v>
      </c>
    </row>
    <row r="10" spans="1:5" x14ac:dyDescent="0.25">
      <c r="A10" s="31">
        <f>Sheet1!A10</f>
        <v>9</v>
      </c>
      <c r="B10" s="32">
        <v>1</v>
      </c>
      <c r="C10" s="33">
        <v>2.6</v>
      </c>
      <c r="D10" s="46">
        <f>IF(B10=1,C10*Sheet1!D10,0)</f>
        <v>130</v>
      </c>
      <c r="E10" s="34">
        <f>IF(B10=2,C10*Sheet1!D10,0)</f>
        <v>0</v>
      </c>
    </row>
    <row r="11" spans="1:5" x14ac:dyDescent="0.25">
      <c r="A11" s="31">
        <f>Sheet1!A11</f>
        <v>10</v>
      </c>
      <c r="B11" s="32">
        <v>1</v>
      </c>
      <c r="C11" s="33">
        <v>3.1</v>
      </c>
      <c r="D11" s="46">
        <f>IF(B11=1,C11*Sheet1!D11,0)</f>
        <v>37.200000000000003</v>
      </c>
      <c r="E11" s="34">
        <f>IF(B11=2,C11*Sheet1!D11,0)</f>
        <v>0</v>
      </c>
    </row>
    <row r="12" spans="1:5" x14ac:dyDescent="0.25">
      <c r="A12" s="31">
        <f>Sheet1!A12</f>
        <v>11</v>
      </c>
      <c r="B12" s="32">
        <v>1</v>
      </c>
      <c r="C12" s="33">
        <v>1</v>
      </c>
      <c r="D12" s="46">
        <f>IF(B12=1,C12*Sheet1!D12,0)</f>
        <v>50</v>
      </c>
      <c r="E12" s="34">
        <f>IF(B12=2,C12*Sheet1!D12,0)</f>
        <v>0</v>
      </c>
    </row>
    <row r="13" spans="1:5" x14ac:dyDescent="0.25">
      <c r="A13" s="31">
        <f>Sheet1!A13</f>
        <v>12</v>
      </c>
      <c r="B13" s="32">
        <v>2</v>
      </c>
      <c r="C13" s="33">
        <v>3.75</v>
      </c>
      <c r="D13" s="46">
        <f>IF(B13=1,C13*Sheet1!D13,0)</f>
        <v>0</v>
      </c>
      <c r="E13" s="34">
        <f>IF(B13=2,C13*Sheet1!D13,0)</f>
        <v>56.25</v>
      </c>
    </row>
    <row r="14" spans="1:5" x14ac:dyDescent="0.25">
      <c r="A14" s="25" t="s">
        <v>7</v>
      </c>
      <c r="B14" s="38"/>
      <c r="C14" s="26"/>
      <c r="D14" s="47">
        <f>SUM(D2:D13)</f>
        <v>662.2</v>
      </c>
      <c r="E14" s="37">
        <f>SUM(E2:E13)</f>
        <v>224.58333333333337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2019-01-11T13:52:21Z</dcterms:created>
  <dcterms:modified xsi:type="dcterms:W3CDTF">2019-01-14T17:01:03Z</dcterms:modified>
</cp:coreProperties>
</file>