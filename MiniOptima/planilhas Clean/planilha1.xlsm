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9E52799E-E96C-4682-BA51-24F7024660BC}" xr6:coauthVersionLast="40" xr6:coauthVersionMax="40" xr10:uidLastSave="{00000000-0000-0000-0000-000000000000}"/>
  <bookViews>
    <workbookView xWindow="-120" yWindow="-120" windowWidth="24240" windowHeight="13290" activeTab="3" xr2:uid="{00000000-000D-0000-FFFF-FFFF00000000}"/>
  </bookViews>
  <sheets>
    <sheet name="Facil" sheetId="9" r:id="rId1"/>
    <sheet name="Dificil" sheetId="8" r:id="rId2"/>
    <sheet name="Complexo" sheetId="5" r:id="rId3"/>
    <sheet name="Optma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6" l="1"/>
  <c r="G7" i="6"/>
  <c r="H7" i="6"/>
  <c r="I7" i="6"/>
  <c r="J7" i="6"/>
  <c r="K7" i="6"/>
  <c r="L7" i="6"/>
  <c r="M7" i="6"/>
  <c r="N7" i="6"/>
  <c r="E7" i="6"/>
  <c r="F12" i="6"/>
  <c r="G12" i="6"/>
  <c r="H12" i="6"/>
  <c r="I12" i="6"/>
  <c r="J12" i="6"/>
  <c r="K12" i="6"/>
  <c r="L12" i="6"/>
  <c r="M12" i="6"/>
  <c r="N12" i="6"/>
  <c r="E12" i="6"/>
  <c r="E13" i="9" l="1"/>
  <c r="E10" i="9"/>
  <c r="G13" i="8"/>
  <c r="F13" i="8"/>
  <c r="E13" i="8"/>
  <c r="G10" i="8"/>
  <c r="G15" i="8" s="1"/>
  <c r="G16" i="8" s="1"/>
  <c r="F10" i="8"/>
  <c r="E10" i="8"/>
  <c r="H7" i="8"/>
  <c r="N10" i="6"/>
  <c r="J10" i="6"/>
  <c r="G13" i="5"/>
  <c r="F13" i="5"/>
  <c r="E13" i="5"/>
  <c r="G10" i="5"/>
  <c r="F10" i="5"/>
  <c r="E10" i="5"/>
  <c r="H7" i="5"/>
  <c r="F15" i="8" l="1"/>
  <c r="F16" i="8" s="1"/>
  <c r="H13" i="8"/>
  <c r="E15" i="9"/>
  <c r="E16" i="9" s="1"/>
  <c r="H12" i="8"/>
  <c r="H10" i="8"/>
  <c r="H15" i="8" s="1"/>
  <c r="H16" i="8" s="1"/>
  <c r="E15" i="8"/>
  <c r="E16" i="8" s="1"/>
  <c r="E15" i="5"/>
  <c r="E16" i="5" s="1"/>
  <c r="J13" i="6"/>
  <c r="J15" i="6" s="1"/>
  <c r="J16" i="6" s="1"/>
  <c r="N13" i="6"/>
  <c r="N15" i="6" s="1"/>
  <c r="N16" i="6" s="1"/>
  <c r="M13" i="6"/>
  <c r="K10" i="6"/>
  <c r="K13" i="6"/>
  <c r="I13" i="6"/>
  <c r="H13" i="6"/>
  <c r="L13" i="6"/>
  <c r="I10" i="6"/>
  <c r="M10" i="6"/>
  <c r="H10" i="6"/>
  <c r="L10" i="6"/>
  <c r="F10" i="6"/>
  <c r="G10" i="6"/>
  <c r="E10" i="6"/>
  <c r="F13" i="6"/>
  <c r="G13" i="6"/>
  <c r="O7" i="6"/>
  <c r="E13" i="6"/>
  <c r="H10" i="5"/>
  <c r="H9" i="5" s="1"/>
  <c r="G15" i="5"/>
  <c r="G16" i="5" s="1"/>
  <c r="F15" i="5"/>
  <c r="F16" i="5" s="1"/>
  <c r="H13" i="5"/>
  <c r="H12" i="5" s="1"/>
  <c r="H15" i="6" l="1"/>
  <c r="H16" i="6" s="1"/>
  <c r="H9" i="8"/>
  <c r="I15" i="6"/>
  <c r="I16" i="6" s="1"/>
  <c r="L15" i="6"/>
  <c r="L16" i="6" s="1"/>
  <c r="K15" i="6"/>
  <c r="K16" i="6" s="1"/>
  <c r="M15" i="6"/>
  <c r="M16" i="6" s="1"/>
  <c r="O10" i="6"/>
  <c r="O9" i="6" s="1"/>
  <c r="G15" i="6"/>
  <c r="G16" i="6" s="1"/>
  <c r="F15" i="6"/>
  <c r="F16" i="6" s="1"/>
  <c r="E15" i="6"/>
  <c r="E16" i="6" s="1"/>
  <c r="O13" i="6"/>
  <c r="O12" i="6" s="1"/>
  <c r="H15" i="5"/>
  <c r="H16" i="5" s="1"/>
  <c r="O15" i="6" l="1"/>
  <c r="O16" i="6" s="1"/>
</calcChain>
</file>

<file path=xl/sharedStrings.xml><?xml version="1.0" encoding="utf-8"?>
<sst xmlns="http://schemas.openxmlformats.org/spreadsheetml/2006/main" count="68" uniqueCount="34">
  <si>
    <t>Total</t>
  </si>
  <si>
    <t>Produto 01</t>
  </si>
  <si>
    <t>Preço Unitário</t>
  </si>
  <si>
    <t>Receita de Vendas</t>
  </si>
  <si>
    <t>Variação Positiva</t>
  </si>
  <si>
    <t>Produto 02</t>
  </si>
  <si>
    <t>Produto 03</t>
  </si>
  <si>
    <t>Capacidade de produção (un.)</t>
  </si>
  <si>
    <t>Qtde Venda (un.)</t>
  </si>
  <si>
    <t>Variação negativa</t>
  </si>
  <si>
    <t>Demanda de mercado (un.)</t>
  </si>
  <si>
    <t>Restrições</t>
  </si>
  <si>
    <t>Demonstração do Resultado</t>
  </si>
  <si>
    <t>Produto 04</t>
  </si>
  <si>
    <t>Produto 05</t>
  </si>
  <si>
    <t>Produto 06</t>
  </si>
  <si>
    <t>Produto 07</t>
  </si>
  <si>
    <t>Produto 08</t>
  </si>
  <si>
    <t>Produto 09</t>
  </si>
  <si>
    <t>Produto 10</t>
  </si>
  <si>
    <t>Qtde Produzida Linha 1</t>
  </si>
  <si>
    <t>Qtde Produzida Linha 2</t>
  </si>
  <si>
    <t>Qtde Produzida Linha 3</t>
  </si>
  <si>
    <t>Capacidade de Produção Linha 1</t>
  </si>
  <si>
    <t>Capacidade de Produção Linha 2</t>
  </si>
  <si>
    <t>Capacidade de Produção Linha 3</t>
  </si>
  <si>
    <t>Custo de Produção Linha  1 (un.)</t>
  </si>
  <si>
    <t>Custo de Produção Linha  2 (un.)</t>
  </si>
  <si>
    <t>Custo de Produção Linha  3 (un.)</t>
  </si>
  <si>
    <t>Custo Variável Unitário</t>
  </si>
  <si>
    <t xml:space="preserve">Custo Variável Total </t>
  </si>
  <si>
    <t>Margem de Contribuição</t>
  </si>
  <si>
    <t>% Margem de Contribuição</t>
  </si>
  <si>
    <t>ç;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</si>
</sst>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008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4">
    <xf numFmtId="0" fontId="0" fillId="0" borderId="0" xfId="0"/>
    <xf numFmtId="0" fontId="0" fillId="3" borderId="0" xfId="0" applyFill="1"/>
    <xf numFmtId="43" fontId="0" fillId="3" borderId="0" xfId="1" applyFont="1" applyFill="1"/>
    <xf numFmtId="43" fontId="2" fillId="2" borderId="0" xfId="1" applyFont="1" applyFill="1"/>
    <xf numFmtId="10" fontId="2" fillId="2" borderId="0" xfId="2" applyNumberFormat="1" applyFont="1" applyFill="1"/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0" xfId="0" applyFill="1" applyAlignment="1">
      <alignment horizontal="right"/>
    </xf>
    <xf numFmtId="9" fontId="0" fillId="4" borderId="0" xfId="2" applyFont="1" applyFill="1" applyAlignment="1">
      <alignment horizontal="right"/>
    </xf>
    <xf numFmtId="0" fontId="0" fillId="3" borderId="0" xfId="0" applyFill="1" applyAlignment="1">
      <alignment horizontal="right"/>
    </xf>
    <xf numFmtId="9" fontId="0" fillId="3" borderId="0" xfId="2" applyFont="1" applyFill="1" applyAlignment="1">
      <alignment horizontal="right"/>
    </xf>
    <xf numFmtId="0" fontId="0" fillId="4" borderId="1" xfId="0" applyFill="1" applyBorder="1" applyAlignment="1">
      <alignment horizontal="center"/>
    </xf>
    <xf numFmtId="0" fontId="0" fillId="4" borderId="2" xfId="0" applyFill="1" applyBorder="1"/>
    <xf numFmtId="0" fontId="0" fillId="3" borderId="2" xfId="0" applyFill="1" applyBorder="1"/>
    <xf numFmtId="43" fontId="0" fillId="3" borderId="2" xfId="1" applyFont="1" applyFill="1" applyBorder="1"/>
    <xf numFmtId="43" fontId="2" fillId="2" borderId="2" xfId="1" applyFont="1" applyFill="1" applyBorder="1"/>
    <xf numFmtId="10" fontId="2" fillId="2" borderId="3" xfId="2" applyNumberFormat="1" applyFont="1" applyFill="1" applyBorder="1"/>
    <xf numFmtId="0" fontId="0" fillId="5" borderId="0" xfId="0" applyFill="1"/>
    <xf numFmtId="43" fontId="0" fillId="2" borderId="0" xfId="1" applyFont="1" applyFill="1"/>
    <xf numFmtId="43" fontId="0" fillId="2" borderId="2" xfId="1" applyFont="1" applyFill="1" applyBorder="1"/>
    <xf numFmtId="44" fontId="0" fillId="3" borderId="0" xfId="3" applyFont="1" applyFill="1"/>
    <xf numFmtId="10" fontId="0" fillId="4" borderId="0" xfId="2" applyNumberFormat="1" applyFont="1" applyFill="1"/>
    <xf numFmtId="0" fontId="0" fillId="5" borderId="0" xfId="0" applyFill="1" applyAlignment="1">
      <alignment horizontal="center" vertical="center" textRotation="90"/>
    </xf>
    <xf numFmtId="0" fontId="0" fillId="2" borderId="0" xfId="0" applyFill="1" applyAlignment="1">
      <alignment horizontal="center" vertical="center" textRotation="90"/>
    </xf>
  </cellXfs>
  <cellStyles count="4">
    <cellStyle name="Comma" xfId="1" builtinId="3"/>
    <cellStyle name="Currency" xfId="3" builtinId="4"/>
    <cellStyle name="Normal" xfId="0" builtinId="0"/>
    <cellStyle name="Percent" xfId="2" builtinId="5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3</xdr:row>
      <xdr:rowOff>160020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47700" cy="712470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172085</xdr:rowOff>
    </xdr:from>
    <xdr:to>
      <xdr:col>5</xdr:col>
      <xdr:colOff>6350</xdr:colOff>
      <xdr:row>1</xdr:row>
      <xdr:rowOff>172085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>
          <a:stCxn id="2" idx="3"/>
        </xdr:cNvCxnSpPr>
      </xdr:nvCxnSpPr>
      <xdr:spPr>
        <a:xfrm>
          <a:off x="647700" y="356235"/>
          <a:ext cx="7112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57150</xdr:colOff>
      <xdr:row>0</xdr:row>
      <xdr:rowOff>82550</xdr:rowOff>
    </xdr:from>
    <xdr:ext cx="2183546" cy="342786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37309" y="82550"/>
          <a:ext cx="2183546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 b="1"/>
            <a:t>Demonstração OPTMA</a:t>
          </a:r>
        </a:p>
      </xdr:txBody>
    </xdr:sp>
    <xdr:clientData/>
  </xdr:oneCellAnchor>
  <xdr:oneCellAnchor>
    <xdr:from>
      <xdr:col>1</xdr:col>
      <xdr:colOff>57150</xdr:colOff>
      <xdr:row>1</xdr:row>
      <xdr:rowOff>158750</xdr:rowOff>
    </xdr:from>
    <xdr:ext cx="2381934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66750" y="342900"/>
          <a:ext cx="23819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Objetivo:</a:t>
          </a:r>
          <a:r>
            <a:rPr lang="pt-BR" sz="1100" b="1" baseline="0"/>
            <a:t> Maximizar a margem bruta</a:t>
          </a:r>
          <a:endParaRPr lang="pt-BR" sz="11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3</xdr:row>
      <xdr:rowOff>160020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47700" cy="712470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172085</xdr:rowOff>
    </xdr:from>
    <xdr:to>
      <xdr:col>8</xdr:col>
      <xdr:colOff>6350</xdr:colOff>
      <xdr:row>1</xdr:row>
      <xdr:rowOff>172085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>
          <a:stCxn id="2" idx="3"/>
        </xdr:cNvCxnSpPr>
      </xdr:nvCxnSpPr>
      <xdr:spPr>
        <a:xfrm>
          <a:off x="647700" y="356235"/>
          <a:ext cx="7112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57150</xdr:colOff>
      <xdr:row>0</xdr:row>
      <xdr:rowOff>82550</xdr:rowOff>
    </xdr:from>
    <xdr:ext cx="2128853" cy="342786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66750" y="82550"/>
          <a:ext cx="212885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 b="1"/>
            <a:t>Demonstração OPTMA</a:t>
          </a:r>
        </a:p>
      </xdr:txBody>
    </xdr:sp>
    <xdr:clientData/>
  </xdr:oneCellAnchor>
  <xdr:oneCellAnchor>
    <xdr:from>
      <xdr:col>1</xdr:col>
      <xdr:colOff>57150</xdr:colOff>
      <xdr:row>1</xdr:row>
      <xdr:rowOff>158750</xdr:rowOff>
    </xdr:from>
    <xdr:ext cx="2381934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66750" y="342900"/>
          <a:ext cx="23819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Objetivo:</a:t>
          </a:r>
          <a:r>
            <a:rPr lang="pt-BR" sz="1100" b="1" baseline="0"/>
            <a:t> Maximizar a margem bruta</a:t>
          </a:r>
          <a:endParaRPr lang="pt-BR" sz="1100" b="1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3</xdr:row>
      <xdr:rowOff>160020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47700" cy="712470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172085</xdr:rowOff>
    </xdr:from>
    <xdr:to>
      <xdr:col>8</xdr:col>
      <xdr:colOff>6350</xdr:colOff>
      <xdr:row>1</xdr:row>
      <xdr:rowOff>172085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>
          <a:stCxn id="6" idx="3"/>
        </xdr:cNvCxnSpPr>
      </xdr:nvCxnSpPr>
      <xdr:spPr>
        <a:xfrm>
          <a:off x="647700" y="356235"/>
          <a:ext cx="71120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57150</xdr:colOff>
      <xdr:row>0</xdr:row>
      <xdr:rowOff>82550</xdr:rowOff>
    </xdr:from>
    <xdr:ext cx="2128853" cy="342786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666750" y="82550"/>
          <a:ext cx="212885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 b="1"/>
            <a:t>Demonstração OPTMA</a:t>
          </a:r>
        </a:p>
      </xdr:txBody>
    </xdr:sp>
    <xdr:clientData/>
  </xdr:oneCellAnchor>
  <xdr:oneCellAnchor>
    <xdr:from>
      <xdr:col>1</xdr:col>
      <xdr:colOff>57150</xdr:colOff>
      <xdr:row>1</xdr:row>
      <xdr:rowOff>158750</xdr:rowOff>
    </xdr:from>
    <xdr:ext cx="2381934" cy="264560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666750" y="342900"/>
          <a:ext cx="23819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Objetivo:</a:t>
          </a:r>
          <a:r>
            <a:rPr lang="pt-BR" sz="1100" b="1" baseline="0"/>
            <a:t> Maximizar a margem bruta</a:t>
          </a:r>
          <a:endParaRPr lang="pt-BR" sz="1100" b="1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3</xdr:row>
      <xdr:rowOff>160020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47700" cy="712470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172085</xdr:rowOff>
    </xdr:from>
    <xdr:to>
      <xdr:col>14</xdr:col>
      <xdr:colOff>996950</xdr:colOff>
      <xdr:row>1</xdr:row>
      <xdr:rowOff>172085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>
          <a:stCxn id="5" idx="3"/>
        </xdr:cNvCxnSpPr>
      </xdr:nvCxnSpPr>
      <xdr:spPr>
        <a:xfrm>
          <a:off x="647700" y="356235"/>
          <a:ext cx="141224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57150</xdr:colOff>
      <xdr:row>0</xdr:row>
      <xdr:rowOff>82550</xdr:rowOff>
    </xdr:from>
    <xdr:ext cx="2183546" cy="342786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638175" y="82550"/>
          <a:ext cx="2183546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 b="1"/>
            <a:t>Demonstração OPTMA</a:t>
          </a:r>
        </a:p>
      </xdr:txBody>
    </xdr:sp>
    <xdr:clientData/>
  </xdr:oneCellAnchor>
  <xdr:oneCellAnchor>
    <xdr:from>
      <xdr:col>1</xdr:col>
      <xdr:colOff>57150</xdr:colOff>
      <xdr:row>1</xdr:row>
      <xdr:rowOff>158750</xdr:rowOff>
    </xdr:from>
    <xdr:ext cx="2381934" cy="264560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666750" y="342900"/>
          <a:ext cx="23819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Objetivo:</a:t>
          </a:r>
          <a:r>
            <a:rPr lang="pt-BR" sz="1100" b="1" baseline="0"/>
            <a:t> Maximizar a margem bruta</a:t>
          </a:r>
          <a:endParaRPr lang="pt-BR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952500</xdr:colOff>
          <xdr:row>0</xdr:row>
          <xdr:rowOff>0</xdr:rowOff>
        </xdr:from>
        <xdr:to>
          <xdr:col>14</xdr:col>
          <xdr:colOff>962025</xdr:colOff>
          <xdr:row>1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80"/>
                  </a:solidFill>
                  <a:latin typeface="Calibri"/>
                </a:rPr>
                <a:t>Optma</a:t>
              </a:r>
            </a:p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80"/>
                  </a:solidFill>
                  <a:latin typeface="Calibri"/>
                </a:rPr>
                <a:t>ima</a:t>
              </a:r>
            </a:p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80"/>
                  </a:solidFill>
                  <a:latin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30"/>
  <sheetViews>
    <sheetView zoomScale="110" zoomScaleNormal="110" workbookViewId="0">
      <selection activeCell="E14" sqref="E14"/>
    </sheetView>
  </sheetViews>
  <sheetFormatPr defaultColWidth="0" defaultRowHeight="0" customHeight="1" zeroHeight="1" x14ac:dyDescent="0.25"/>
  <cols>
    <col min="1" max="2" width="8.7109375" style="5" customWidth="1"/>
    <col min="3" max="3" width="2.7109375" style="5" customWidth="1"/>
    <col min="4" max="4" width="33.42578125" style="5" bestFit="1" customWidth="1"/>
    <col min="5" max="5" width="14.42578125" customWidth="1"/>
    <col min="6" max="6" width="2" style="5" customWidth="1"/>
    <col min="7" max="16" width="0" style="5" hidden="1" customWidth="1"/>
    <col min="17" max="16384" width="8.7109375" style="5" hidden="1"/>
  </cols>
  <sheetData>
    <row r="1" spans="2:5" ht="15" x14ac:dyDescent="0.25">
      <c r="E1" s="5"/>
    </row>
    <row r="2" spans="2:5" ht="15" x14ac:dyDescent="0.25">
      <c r="E2" s="5"/>
    </row>
    <row r="3" spans="2:5" ht="15" x14ac:dyDescent="0.25">
      <c r="E3" s="5"/>
    </row>
    <row r="4" spans="2:5" ht="15" x14ac:dyDescent="0.25">
      <c r="E4" s="5"/>
    </row>
    <row r="5" spans="2:5" ht="15" x14ac:dyDescent="0.25">
      <c r="E5" s="6" t="s">
        <v>1</v>
      </c>
    </row>
    <row r="6" spans="2:5" ht="15" x14ac:dyDescent="0.25">
      <c r="E6" s="5"/>
    </row>
    <row r="7" spans="2:5" ht="15" x14ac:dyDescent="0.25">
      <c r="B7" s="22" t="s">
        <v>12</v>
      </c>
      <c r="D7" s="5" t="s">
        <v>8</v>
      </c>
      <c r="E7" s="1">
        <v>80</v>
      </c>
    </row>
    <row r="8" spans="2:5" ht="15" x14ac:dyDescent="0.25">
      <c r="B8" s="22"/>
      <c r="E8" s="5"/>
    </row>
    <row r="9" spans="2:5" ht="15" x14ac:dyDescent="0.25">
      <c r="B9" s="22"/>
      <c r="D9" s="5" t="s">
        <v>2</v>
      </c>
      <c r="E9" s="2">
        <v>11.42747328125</v>
      </c>
    </row>
    <row r="10" spans="2:5" ht="15" x14ac:dyDescent="0.25">
      <c r="B10" s="22"/>
      <c r="D10" s="5" t="s">
        <v>3</v>
      </c>
      <c r="E10" s="3">
        <f>E7*E9</f>
        <v>914.19786250000004</v>
      </c>
    </row>
    <row r="11" spans="2:5" ht="15" x14ac:dyDescent="0.25">
      <c r="B11" s="22"/>
      <c r="E11" s="5"/>
    </row>
    <row r="12" spans="2:5" ht="15" x14ac:dyDescent="0.25">
      <c r="B12" s="22"/>
      <c r="D12" s="5" t="s">
        <v>29</v>
      </c>
      <c r="E12" s="2">
        <v>8</v>
      </c>
    </row>
    <row r="13" spans="2:5" ht="15" x14ac:dyDescent="0.25">
      <c r="B13" s="22"/>
      <c r="D13" s="5" t="s">
        <v>30</v>
      </c>
      <c r="E13" s="3">
        <f>E12*E7</f>
        <v>640</v>
      </c>
    </row>
    <row r="14" spans="2:5" ht="15" x14ac:dyDescent="0.25">
      <c r="B14" s="22"/>
      <c r="E14" s="5"/>
    </row>
    <row r="15" spans="2:5" ht="15" x14ac:dyDescent="0.25">
      <c r="B15" s="22"/>
      <c r="D15" s="5" t="s">
        <v>31</v>
      </c>
      <c r="E15" s="3">
        <f>E10-E13</f>
        <v>274.19786250000004</v>
      </c>
    </row>
    <row r="16" spans="2:5" ht="15" x14ac:dyDescent="0.25">
      <c r="B16" s="22"/>
      <c r="D16" s="5" t="s">
        <v>32</v>
      </c>
      <c r="E16" s="4">
        <f>E15/E10</f>
        <v>0.29993273201292353</v>
      </c>
    </row>
    <row r="17" spans="5:5" ht="15" x14ac:dyDescent="0.25">
      <c r="E17" s="5"/>
    </row>
    <row r="18" spans="5:5" ht="15" x14ac:dyDescent="0.25">
      <c r="E18" s="5"/>
    </row>
    <row r="19" spans="5:5" ht="14.45" hidden="1" customHeight="1" x14ac:dyDescent="0.25"/>
    <row r="20" spans="5:5" ht="14.45" hidden="1" customHeight="1" x14ac:dyDescent="0.25"/>
    <row r="21" spans="5:5" ht="14.45" hidden="1" customHeight="1" x14ac:dyDescent="0.25"/>
    <row r="22" spans="5:5" ht="14.45" hidden="1" customHeight="1" x14ac:dyDescent="0.25"/>
    <row r="23" spans="5:5" ht="14.45" hidden="1" customHeight="1" x14ac:dyDescent="0.25"/>
    <row r="24" spans="5:5" ht="14.45" hidden="1" customHeight="1" x14ac:dyDescent="0.25"/>
    <row r="25" spans="5:5" ht="14.45" hidden="1" customHeight="1" x14ac:dyDescent="0.25"/>
    <row r="26" spans="5:5" ht="14.45" hidden="1" customHeight="1" x14ac:dyDescent="0.25"/>
    <row r="27" spans="5:5" ht="14.45" hidden="1" customHeight="1" x14ac:dyDescent="0.25"/>
    <row r="28" spans="5:5" ht="14.45" hidden="1" customHeight="1" x14ac:dyDescent="0.25"/>
    <row r="29" spans="5:5" ht="14.45" hidden="1" customHeight="1" x14ac:dyDescent="0.25"/>
    <row r="30" spans="5:5" ht="14.45" hidden="1" customHeight="1" x14ac:dyDescent="0.25"/>
  </sheetData>
  <mergeCells count="1">
    <mergeCell ref="B7:B16"/>
  </mergeCells>
  <conditionalFormatting sqref="E7">
    <cfRule type="cellIs" dxfId="6" priority="1" operator="greaterThan">
      <formula>#REF!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30"/>
  <sheetViews>
    <sheetView workbookViewId="0">
      <selection activeCell="D7" sqref="D7:D16"/>
    </sheetView>
  </sheetViews>
  <sheetFormatPr defaultColWidth="0" defaultRowHeight="14.45" customHeight="1" zeroHeight="1" x14ac:dyDescent="0.25"/>
  <cols>
    <col min="1" max="2" width="8.7109375" style="5" customWidth="1"/>
    <col min="3" max="3" width="2.7109375" style="5" customWidth="1"/>
    <col min="4" max="4" width="33.42578125" style="5" bestFit="1" customWidth="1"/>
    <col min="5" max="8" width="14.42578125" customWidth="1"/>
    <col min="9" max="9" width="2" style="5" customWidth="1"/>
    <col min="10" max="16" width="0" style="5" hidden="1" customWidth="1"/>
    <col min="17" max="16384" width="8.7109375" style="5" hidden="1"/>
  </cols>
  <sheetData>
    <row r="1" spans="2:8" ht="15" x14ac:dyDescent="0.25">
      <c r="E1" s="5"/>
      <c r="F1" s="5"/>
      <c r="G1" s="5"/>
      <c r="H1" s="5"/>
    </row>
    <row r="2" spans="2:8" ht="15" x14ac:dyDescent="0.25">
      <c r="E2" s="5"/>
      <c r="F2" s="5"/>
      <c r="G2" s="5"/>
      <c r="H2" s="5"/>
    </row>
    <row r="3" spans="2:8" ht="15" x14ac:dyDescent="0.25">
      <c r="E3" s="5"/>
      <c r="F3" s="5"/>
      <c r="G3" s="5"/>
      <c r="H3" s="5"/>
    </row>
    <row r="4" spans="2:8" ht="15.75" thickBot="1" x14ac:dyDescent="0.3">
      <c r="E4" s="5"/>
      <c r="F4" s="5"/>
      <c r="G4" s="5"/>
      <c r="H4" s="5"/>
    </row>
    <row r="5" spans="2:8" ht="15" x14ac:dyDescent="0.25">
      <c r="E5" s="6" t="s">
        <v>1</v>
      </c>
      <c r="F5" s="6" t="s">
        <v>5</v>
      </c>
      <c r="G5" s="6" t="s">
        <v>6</v>
      </c>
      <c r="H5" s="11" t="s">
        <v>0</v>
      </c>
    </row>
    <row r="6" spans="2:8" ht="15" x14ac:dyDescent="0.25">
      <c r="E6" s="5"/>
      <c r="F6" s="5"/>
      <c r="G6" s="5"/>
      <c r="H6" s="12"/>
    </row>
    <row r="7" spans="2:8" ht="15" x14ac:dyDescent="0.25">
      <c r="B7" s="22" t="s">
        <v>12</v>
      </c>
      <c r="D7" s="5" t="s">
        <v>8</v>
      </c>
      <c r="E7" s="1">
        <v>80</v>
      </c>
      <c r="F7" s="1">
        <v>125</v>
      </c>
      <c r="G7" s="1">
        <v>79</v>
      </c>
      <c r="H7" s="13">
        <f>SUM(E7:G7)</f>
        <v>284</v>
      </c>
    </row>
    <row r="8" spans="2:8" ht="15" x14ac:dyDescent="0.25">
      <c r="B8" s="22"/>
      <c r="E8" s="5"/>
      <c r="F8" s="5"/>
      <c r="G8" s="5"/>
      <c r="H8" s="12"/>
    </row>
    <row r="9" spans="2:8" ht="15" x14ac:dyDescent="0.25">
      <c r="B9" s="22"/>
      <c r="D9" s="5" t="s">
        <v>2</v>
      </c>
      <c r="E9" s="2">
        <v>10</v>
      </c>
      <c r="F9" s="2">
        <v>15</v>
      </c>
      <c r="G9" s="2">
        <v>22</v>
      </c>
      <c r="H9" s="14">
        <f>H10/H7</f>
        <v>15.538732394366198</v>
      </c>
    </row>
    <row r="10" spans="2:8" ht="15" x14ac:dyDescent="0.25">
      <c r="B10" s="22"/>
      <c r="D10" s="5" t="s">
        <v>3</v>
      </c>
      <c r="E10" s="3">
        <f>E7*E9</f>
        <v>800</v>
      </c>
      <c r="F10" s="3">
        <f>F7*F9</f>
        <v>1875</v>
      </c>
      <c r="G10" s="3">
        <f>G7*G9</f>
        <v>1738</v>
      </c>
      <c r="H10" s="15">
        <f>SUM(E10:G10)</f>
        <v>4413</v>
      </c>
    </row>
    <row r="11" spans="2:8" ht="15" x14ac:dyDescent="0.25">
      <c r="B11" s="22"/>
      <c r="E11" s="5"/>
      <c r="F11" s="5"/>
      <c r="G11" s="5"/>
      <c r="H11" s="12"/>
    </row>
    <row r="12" spans="2:8" ht="15" x14ac:dyDescent="0.25">
      <c r="B12" s="22"/>
      <c r="D12" s="5" t="s">
        <v>29</v>
      </c>
      <c r="E12" s="2">
        <v>8</v>
      </c>
      <c r="F12" s="2">
        <v>11</v>
      </c>
      <c r="G12" s="2">
        <v>9</v>
      </c>
      <c r="H12" s="14">
        <f>H13/H7</f>
        <v>9.5985915492957741</v>
      </c>
    </row>
    <row r="13" spans="2:8" ht="15" x14ac:dyDescent="0.25">
      <c r="B13" s="22"/>
      <c r="D13" s="5" t="s">
        <v>30</v>
      </c>
      <c r="E13" s="3">
        <f>E12*E7</f>
        <v>640</v>
      </c>
      <c r="F13" s="3">
        <f>F12*F7</f>
        <v>1375</v>
      </c>
      <c r="G13" s="3">
        <f>G12*G7</f>
        <v>711</v>
      </c>
      <c r="H13" s="15">
        <f>SUM(E13:G13)</f>
        <v>2726</v>
      </c>
    </row>
    <row r="14" spans="2:8" ht="15" x14ac:dyDescent="0.25">
      <c r="B14" s="22"/>
      <c r="E14" s="5"/>
      <c r="F14" s="5"/>
      <c r="G14" s="5"/>
      <c r="H14" s="12"/>
    </row>
    <row r="15" spans="2:8" ht="15" x14ac:dyDescent="0.25">
      <c r="B15" s="22"/>
      <c r="D15" s="5" t="s">
        <v>31</v>
      </c>
      <c r="E15" s="3">
        <f>E10-E13</f>
        <v>160</v>
      </c>
      <c r="F15" s="3">
        <f>F10-F13</f>
        <v>500</v>
      </c>
      <c r="G15" s="3">
        <f>G10-G13</f>
        <v>1027</v>
      </c>
      <c r="H15" s="15">
        <f>H10-H13</f>
        <v>1687</v>
      </c>
    </row>
    <row r="16" spans="2:8" ht="15.75" thickBot="1" x14ac:dyDescent="0.3">
      <c r="B16" s="22"/>
      <c r="D16" s="5" t="s">
        <v>32</v>
      </c>
      <c r="E16" s="4">
        <f>E15/E10</f>
        <v>0.2</v>
      </c>
      <c r="F16" s="4">
        <f>F15/F10</f>
        <v>0.26666666666666666</v>
      </c>
      <c r="G16" s="4">
        <f>G15/G10</f>
        <v>0.59090909090909094</v>
      </c>
      <c r="H16" s="16">
        <f>H15/H10</f>
        <v>0.38227962837072288</v>
      </c>
    </row>
    <row r="17" spans="5:8" ht="15" x14ac:dyDescent="0.25">
      <c r="E17" s="5"/>
      <c r="F17" s="5"/>
      <c r="G17" s="5"/>
      <c r="H17" s="5"/>
    </row>
    <row r="18" spans="5:8" ht="15" x14ac:dyDescent="0.25">
      <c r="E18" s="5"/>
      <c r="F18" s="5"/>
      <c r="G18" s="5"/>
      <c r="H18" s="5"/>
    </row>
    <row r="19" spans="5:8" ht="14.45" hidden="1" customHeight="1" x14ac:dyDescent="0.25"/>
    <row r="20" spans="5:8" ht="14.45" hidden="1" customHeight="1" x14ac:dyDescent="0.25"/>
    <row r="21" spans="5:8" ht="14.45" hidden="1" customHeight="1" x14ac:dyDescent="0.25"/>
    <row r="22" spans="5:8" ht="14.45" hidden="1" customHeight="1" x14ac:dyDescent="0.25"/>
    <row r="23" spans="5:8" ht="14.45" hidden="1" customHeight="1" x14ac:dyDescent="0.25"/>
    <row r="24" spans="5:8" ht="14.45" hidden="1" customHeight="1" x14ac:dyDescent="0.25"/>
    <row r="25" spans="5:8" ht="14.45" hidden="1" customHeight="1" x14ac:dyDescent="0.25"/>
    <row r="26" spans="5:8" ht="14.45" hidden="1" customHeight="1" x14ac:dyDescent="0.25"/>
    <row r="27" spans="5:8" ht="14.45" hidden="1" customHeight="1" x14ac:dyDescent="0.25"/>
    <row r="28" spans="5:8" ht="14.45" hidden="1" customHeight="1" x14ac:dyDescent="0.25"/>
    <row r="29" spans="5:8" ht="14.45" hidden="1" customHeight="1" x14ac:dyDescent="0.25"/>
    <row r="30" spans="5:8" ht="14.45" hidden="1" customHeight="1" x14ac:dyDescent="0.25"/>
  </sheetData>
  <mergeCells count="1">
    <mergeCell ref="B7:B16"/>
  </mergeCells>
  <conditionalFormatting sqref="E7">
    <cfRule type="cellIs" dxfId="5" priority="10" operator="greaterThan">
      <formula>#REF!</formula>
    </cfRule>
  </conditionalFormatting>
  <conditionalFormatting sqref="F7">
    <cfRule type="cellIs" dxfId="4" priority="11" operator="greaterThan">
      <formula>#REF!</formula>
    </cfRule>
  </conditionalFormatting>
  <conditionalFormatting sqref="G7">
    <cfRule type="cellIs" dxfId="3" priority="12" operator="greaterThan">
      <formula>#REF!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30"/>
  <sheetViews>
    <sheetView workbookViewId="0">
      <selection activeCell="D7" sqref="D7:D16"/>
    </sheetView>
  </sheetViews>
  <sheetFormatPr defaultColWidth="0" defaultRowHeight="15" zeroHeight="1" x14ac:dyDescent="0.25"/>
  <cols>
    <col min="1" max="2" width="8.7109375" style="5" customWidth="1"/>
    <col min="3" max="3" width="2.7109375" style="5" customWidth="1"/>
    <col min="4" max="4" width="33.42578125" style="5" bestFit="1" customWidth="1"/>
    <col min="5" max="8" width="14.42578125" customWidth="1"/>
    <col min="9" max="9" width="2" style="5" customWidth="1"/>
    <col min="10" max="16" width="0" style="5" hidden="1" customWidth="1"/>
    <col min="17" max="16384" width="8.7109375" style="5" hidden="1"/>
  </cols>
  <sheetData>
    <row r="1" spans="2:8" x14ac:dyDescent="0.25">
      <c r="E1" s="5"/>
      <c r="F1" s="5"/>
      <c r="G1" s="5"/>
      <c r="H1" s="5"/>
    </row>
    <row r="2" spans="2:8" x14ac:dyDescent="0.25">
      <c r="E2" s="5"/>
      <c r="F2" s="5"/>
      <c r="G2" s="5"/>
      <c r="H2" s="5"/>
    </row>
    <row r="3" spans="2:8" x14ac:dyDescent="0.25">
      <c r="E3" s="5"/>
      <c r="F3" s="5"/>
      <c r="G3" s="5"/>
      <c r="H3" s="5"/>
    </row>
    <row r="4" spans="2:8" ht="15.75" thickBot="1" x14ac:dyDescent="0.3">
      <c r="E4" s="5"/>
      <c r="F4" s="5"/>
      <c r="G4" s="5"/>
      <c r="H4" s="5"/>
    </row>
    <row r="5" spans="2:8" x14ac:dyDescent="0.25">
      <c r="E5" s="6" t="s">
        <v>1</v>
      </c>
      <c r="F5" s="6" t="s">
        <v>5</v>
      </c>
      <c r="G5" s="6" t="s">
        <v>6</v>
      </c>
      <c r="H5" s="11" t="s">
        <v>0</v>
      </c>
    </row>
    <row r="6" spans="2:8" x14ac:dyDescent="0.25">
      <c r="E6" s="5"/>
      <c r="F6" s="5"/>
      <c r="G6" s="5"/>
      <c r="H6" s="12"/>
    </row>
    <row r="7" spans="2:8" x14ac:dyDescent="0.25">
      <c r="B7" s="22" t="s">
        <v>12</v>
      </c>
      <c r="D7" s="5" t="s">
        <v>8</v>
      </c>
      <c r="E7" s="1">
        <v>80</v>
      </c>
      <c r="F7" s="1">
        <v>125</v>
      </c>
      <c r="G7" s="1">
        <v>79</v>
      </c>
      <c r="H7" s="13">
        <f>SUM(E7:G7)</f>
        <v>284</v>
      </c>
    </row>
    <row r="8" spans="2:8" x14ac:dyDescent="0.25">
      <c r="B8" s="22"/>
      <c r="E8" s="5"/>
      <c r="F8" s="5"/>
      <c r="G8" s="5"/>
      <c r="H8" s="12"/>
    </row>
    <row r="9" spans="2:8" x14ac:dyDescent="0.25">
      <c r="B9" s="22"/>
      <c r="D9" s="5" t="s">
        <v>2</v>
      </c>
      <c r="E9" s="2">
        <v>10</v>
      </c>
      <c r="F9" s="2">
        <v>15</v>
      </c>
      <c r="G9" s="2">
        <v>22</v>
      </c>
      <c r="H9" s="14">
        <f>H10/H7</f>
        <v>15.538732394366198</v>
      </c>
    </row>
    <row r="10" spans="2:8" x14ac:dyDescent="0.25">
      <c r="B10" s="22"/>
      <c r="D10" s="5" t="s">
        <v>3</v>
      </c>
      <c r="E10" s="3">
        <f>E7*E9</f>
        <v>800</v>
      </c>
      <c r="F10" s="3">
        <f>F7*F9</f>
        <v>1875</v>
      </c>
      <c r="G10" s="3">
        <f>G7*G9</f>
        <v>1738</v>
      </c>
      <c r="H10" s="15">
        <f>SUM(E10:G10)</f>
        <v>4413</v>
      </c>
    </row>
    <row r="11" spans="2:8" x14ac:dyDescent="0.25">
      <c r="B11" s="22"/>
      <c r="E11" s="5"/>
      <c r="F11" s="5"/>
      <c r="G11" s="5"/>
      <c r="H11" s="12"/>
    </row>
    <row r="12" spans="2:8" x14ac:dyDescent="0.25">
      <c r="B12" s="22"/>
      <c r="D12" s="5" t="s">
        <v>29</v>
      </c>
      <c r="E12" s="2">
        <v>8</v>
      </c>
      <c r="F12" s="2">
        <v>11</v>
      </c>
      <c r="G12" s="2">
        <v>9</v>
      </c>
      <c r="H12" s="14">
        <f>H13/H7</f>
        <v>9.5985915492957741</v>
      </c>
    </row>
    <row r="13" spans="2:8" x14ac:dyDescent="0.25">
      <c r="B13" s="22"/>
      <c r="D13" s="5" t="s">
        <v>30</v>
      </c>
      <c r="E13" s="3">
        <f>E12*E7</f>
        <v>640</v>
      </c>
      <c r="F13" s="3">
        <f>F12*F7</f>
        <v>1375</v>
      </c>
      <c r="G13" s="3">
        <f>G12*G7</f>
        <v>711</v>
      </c>
      <c r="H13" s="15">
        <f>SUM(E13:G13)</f>
        <v>2726</v>
      </c>
    </row>
    <row r="14" spans="2:8" x14ac:dyDescent="0.25">
      <c r="B14" s="22"/>
      <c r="E14" s="5"/>
      <c r="F14" s="5"/>
      <c r="G14" s="5"/>
      <c r="H14" s="12"/>
    </row>
    <row r="15" spans="2:8" x14ac:dyDescent="0.25">
      <c r="B15" s="22"/>
      <c r="D15" s="5" t="s">
        <v>31</v>
      </c>
      <c r="E15" s="3">
        <f>E10-E13</f>
        <v>160</v>
      </c>
      <c r="F15" s="3">
        <f>F10-F13</f>
        <v>500</v>
      </c>
      <c r="G15" s="3">
        <f>G10-G13</f>
        <v>1027</v>
      </c>
      <c r="H15" s="15">
        <f>H10-H13</f>
        <v>1687</v>
      </c>
    </row>
    <row r="16" spans="2:8" ht="15.75" thickBot="1" x14ac:dyDescent="0.3">
      <c r="B16" s="22"/>
      <c r="D16" s="5" t="s">
        <v>32</v>
      </c>
      <c r="E16" s="4">
        <f>E15/E10</f>
        <v>0.2</v>
      </c>
      <c r="F16" s="4">
        <f>F15/F10</f>
        <v>0.26666666666666666</v>
      </c>
      <c r="G16" s="4">
        <f>G15/G10</f>
        <v>0.59090909090909094</v>
      </c>
      <c r="H16" s="16">
        <f>H15/H10</f>
        <v>0.38227962837072288</v>
      </c>
    </row>
    <row r="17" spans="2:14" x14ac:dyDescent="0.25">
      <c r="E17" s="5"/>
      <c r="F17" s="5"/>
      <c r="G17" s="5"/>
      <c r="H17" s="5"/>
    </row>
    <row r="18" spans="2:14" x14ac:dyDescent="0.25">
      <c r="E18" s="5"/>
      <c r="F18" s="5"/>
      <c r="G18" s="5"/>
      <c r="H18" s="5"/>
    </row>
    <row r="19" spans="2:14" x14ac:dyDescent="0.25">
      <c r="E19" s="5"/>
      <c r="F19" s="5"/>
      <c r="G19" s="5"/>
      <c r="H19" s="5"/>
    </row>
    <row r="20" spans="2:14" x14ac:dyDescent="0.25">
      <c r="B20" s="22" t="s">
        <v>11</v>
      </c>
      <c r="D20" s="5" t="s">
        <v>7</v>
      </c>
      <c r="E20" s="9">
        <v>80</v>
      </c>
      <c r="F20" s="9">
        <v>125</v>
      </c>
      <c r="G20" s="9">
        <v>79</v>
      </c>
      <c r="H20" s="5"/>
    </row>
    <row r="21" spans="2:14" x14ac:dyDescent="0.25">
      <c r="B21" s="22"/>
      <c r="E21" s="5"/>
      <c r="F21" s="5"/>
      <c r="G21" s="5"/>
      <c r="H21" s="5"/>
    </row>
    <row r="22" spans="2:14" x14ac:dyDescent="0.25">
      <c r="B22" s="22"/>
      <c r="E22" s="5"/>
      <c r="F22" s="5"/>
      <c r="G22" s="5"/>
      <c r="H22" s="7"/>
      <c r="I22" s="7"/>
      <c r="J22" s="7"/>
      <c r="K22" s="7"/>
      <c r="L22" s="7"/>
      <c r="M22" s="7"/>
      <c r="N22" s="7"/>
    </row>
    <row r="23" spans="2:14" x14ac:dyDescent="0.25">
      <c r="B23" s="22"/>
      <c r="E23" s="8"/>
      <c r="F23" s="8"/>
      <c r="G23" s="8"/>
      <c r="H23" s="8"/>
      <c r="I23" s="8"/>
      <c r="J23" s="8"/>
      <c r="K23" s="8"/>
      <c r="L23" s="8"/>
      <c r="M23" s="8"/>
      <c r="N23" s="8"/>
    </row>
    <row r="24" spans="2:14" x14ac:dyDescent="0.25">
      <c r="B24" s="22"/>
      <c r="E24" s="8"/>
      <c r="F24" s="8"/>
      <c r="G24" s="8"/>
      <c r="H24" s="8"/>
      <c r="I24" s="8"/>
      <c r="J24" s="8"/>
      <c r="K24" s="8"/>
      <c r="L24" s="8"/>
      <c r="M24" s="8"/>
      <c r="N24" s="8"/>
    </row>
    <row r="25" spans="2:14" x14ac:dyDescent="0.25">
      <c r="B25" s="22"/>
      <c r="E25" s="7"/>
      <c r="F25" s="7"/>
      <c r="G25" s="7"/>
      <c r="H25" s="7"/>
      <c r="I25" s="7"/>
      <c r="J25" s="7"/>
      <c r="K25" s="7"/>
      <c r="L25" s="7"/>
      <c r="M25" s="7"/>
      <c r="N25" s="7"/>
    </row>
    <row r="26" spans="2:14" x14ac:dyDescent="0.25">
      <c r="B26" s="22"/>
      <c r="E26" s="7"/>
      <c r="F26" s="7"/>
      <c r="G26" s="7"/>
      <c r="H26" s="7"/>
      <c r="I26" s="7"/>
      <c r="J26" s="7"/>
      <c r="K26" s="7"/>
      <c r="L26" s="7"/>
      <c r="M26" s="7"/>
      <c r="N26" s="7"/>
    </row>
    <row r="27" spans="2:14" x14ac:dyDescent="0.25">
      <c r="E27" s="8"/>
      <c r="F27" s="8"/>
      <c r="G27" s="8"/>
      <c r="H27" s="8"/>
      <c r="I27" s="8"/>
      <c r="J27" s="8"/>
      <c r="K27" s="8"/>
      <c r="L27" s="8"/>
      <c r="M27" s="8"/>
      <c r="N27" s="8"/>
    </row>
    <row r="28" spans="2:14" x14ac:dyDescent="0.25">
      <c r="E28" s="8"/>
      <c r="F28" s="8"/>
      <c r="G28" s="8"/>
      <c r="H28" s="8"/>
      <c r="I28" s="8"/>
      <c r="J28" s="8"/>
      <c r="K28" s="8"/>
      <c r="L28" s="8"/>
      <c r="M28" s="8"/>
      <c r="N28" s="8"/>
    </row>
    <row r="29" spans="2:14" hidden="1" x14ac:dyDescent="0.25"/>
    <row r="30" spans="2:14" hidden="1" x14ac:dyDescent="0.25"/>
  </sheetData>
  <mergeCells count="2">
    <mergeCell ref="B7:B16"/>
    <mergeCell ref="B20:B26"/>
  </mergeCells>
  <conditionalFormatting sqref="E7">
    <cfRule type="cellIs" dxfId="2" priority="7" operator="greaterThan">
      <formula>$E$20</formula>
    </cfRule>
  </conditionalFormatting>
  <conditionalFormatting sqref="F7">
    <cfRule type="cellIs" dxfId="1" priority="8" operator="greaterThan">
      <formula>$F$20</formula>
    </cfRule>
  </conditionalFormatting>
  <conditionalFormatting sqref="G7">
    <cfRule type="cellIs" dxfId="0" priority="9" operator="greaterThan">
      <formula>$G$20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P58"/>
  <sheetViews>
    <sheetView tabSelected="1" workbookViewId="0">
      <pane xSplit="4" ySplit="6" topLeftCell="E12" activePane="bottomRight" state="frozen"/>
      <selection pane="topRight" activeCell="E1" sqref="E1"/>
      <selection pane="bottomLeft" activeCell="A9" sqref="A9"/>
      <selection pane="bottomRight" activeCell="I31" sqref="I31"/>
    </sheetView>
  </sheetViews>
  <sheetFormatPr defaultColWidth="0" defaultRowHeight="15" zeroHeight="1" x14ac:dyDescent="0.25"/>
  <cols>
    <col min="1" max="2" width="8.7109375" style="5" customWidth="1"/>
    <col min="3" max="3" width="2.7109375" style="5" customWidth="1"/>
    <col min="4" max="4" width="33.42578125" style="5" bestFit="1" customWidth="1"/>
    <col min="5" max="15" width="14.42578125" style="5" customWidth="1"/>
    <col min="16" max="16" width="2" style="5" customWidth="1"/>
    <col min="17" max="16384" width="8.7109375" style="5" hidden="1"/>
  </cols>
  <sheetData>
    <row r="1" spans="2:15" x14ac:dyDescent="0.25"/>
    <row r="2" spans="2:15" x14ac:dyDescent="0.25"/>
    <row r="3" spans="2:15" x14ac:dyDescent="0.25"/>
    <row r="4" spans="2:15" ht="15.75" thickBot="1" x14ac:dyDescent="0.3">
      <c r="M4" s="5" t="s">
        <v>33</v>
      </c>
    </row>
    <row r="5" spans="2:15" x14ac:dyDescent="0.25">
      <c r="E5" s="6" t="s">
        <v>1</v>
      </c>
      <c r="F5" s="6" t="s">
        <v>5</v>
      </c>
      <c r="G5" s="6" t="s">
        <v>6</v>
      </c>
      <c r="H5" s="6" t="s">
        <v>13</v>
      </c>
      <c r="I5" s="6" t="s">
        <v>14</v>
      </c>
      <c r="J5" s="6" t="s">
        <v>15</v>
      </c>
      <c r="K5" s="6" t="s">
        <v>16</v>
      </c>
      <c r="L5" s="6" t="s">
        <v>17</v>
      </c>
      <c r="M5" s="6" t="s">
        <v>18</v>
      </c>
      <c r="N5" s="6" t="s">
        <v>19</v>
      </c>
      <c r="O5" s="11" t="s">
        <v>0</v>
      </c>
    </row>
    <row r="6" spans="2:15" x14ac:dyDescent="0.25">
      <c r="O6" s="12"/>
    </row>
    <row r="7" spans="2:15" x14ac:dyDescent="0.25">
      <c r="B7" s="22" t="s">
        <v>12</v>
      </c>
      <c r="D7" s="5" t="s">
        <v>8</v>
      </c>
      <c r="E7" s="9">
        <f>E31+E32+E33</f>
        <v>88</v>
      </c>
      <c r="F7" s="9">
        <f t="shared" ref="F7:N7" si="0">F31+F32+F33</f>
        <v>137</v>
      </c>
      <c r="G7" s="9">
        <f t="shared" si="0"/>
        <v>86</v>
      </c>
      <c r="H7" s="9">
        <f t="shared" si="0"/>
        <v>86</v>
      </c>
      <c r="I7" s="9">
        <f t="shared" si="0"/>
        <v>86</v>
      </c>
      <c r="J7" s="9">
        <f t="shared" si="0"/>
        <v>86</v>
      </c>
      <c r="K7" s="9">
        <f t="shared" si="0"/>
        <v>86</v>
      </c>
      <c r="L7" s="9">
        <f t="shared" si="0"/>
        <v>86</v>
      </c>
      <c r="M7" s="9">
        <f t="shared" si="0"/>
        <v>86</v>
      </c>
      <c r="N7" s="9">
        <f t="shared" si="0"/>
        <v>86</v>
      </c>
      <c r="O7" s="13">
        <f>SUM(E7:N7)</f>
        <v>913</v>
      </c>
    </row>
    <row r="8" spans="2:15" x14ac:dyDescent="0.25">
      <c r="B8" s="22"/>
      <c r="O8" s="12"/>
    </row>
    <row r="9" spans="2:15" x14ac:dyDescent="0.25">
      <c r="B9" s="22"/>
      <c r="D9" s="5" t="s">
        <v>2</v>
      </c>
      <c r="E9" s="2">
        <v>90</v>
      </c>
      <c r="F9" s="2">
        <v>63</v>
      </c>
      <c r="G9" s="2">
        <v>46</v>
      </c>
      <c r="H9" s="2">
        <v>66</v>
      </c>
      <c r="I9" s="2">
        <v>38</v>
      </c>
      <c r="J9" s="2">
        <v>56</v>
      </c>
      <c r="K9" s="2">
        <v>93</v>
      </c>
      <c r="L9" s="2">
        <v>71</v>
      </c>
      <c r="M9" s="2">
        <v>51</v>
      </c>
      <c r="N9" s="2">
        <v>90</v>
      </c>
      <c r="O9" s="14">
        <f>O10/O7</f>
        <v>66.261774370208101</v>
      </c>
    </row>
    <row r="10" spans="2:15" x14ac:dyDescent="0.25">
      <c r="B10" s="22"/>
      <c r="D10" s="5" t="s">
        <v>3</v>
      </c>
      <c r="E10" s="3">
        <f>E7*E9</f>
        <v>7920</v>
      </c>
      <c r="F10" s="3">
        <f>F7*F9</f>
        <v>8631</v>
      </c>
      <c r="G10" s="3">
        <f>G7*G9</f>
        <v>3956</v>
      </c>
      <c r="H10" s="3">
        <f t="shared" ref="H10:N10" si="1">H7*H9</f>
        <v>5676</v>
      </c>
      <c r="I10" s="3">
        <f t="shared" si="1"/>
        <v>3268</v>
      </c>
      <c r="J10" s="3">
        <f t="shared" si="1"/>
        <v>4816</v>
      </c>
      <c r="K10" s="3">
        <f t="shared" si="1"/>
        <v>7998</v>
      </c>
      <c r="L10" s="3">
        <f t="shared" si="1"/>
        <v>6106</v>
      </c>
      <c r="M10" s="3">
        <f t="shared" si="1"/>
        <v>4386</v>
      </c>
      <c r="N10" s="3">
        <f t="shared" si="1"/>
        <v>7740</v>
      </c>
      <c r="O10" s="15">
        <f>SUM(E10:N10)</f>
        <v>60497</v>
      </c>
    </row>
    <row r="11" spans="2:15" x14ac:dyDescent="0.25">
      <c r="B11" s="22"/>
      <c r="O11" s="12"/>
    </row>
    <row r="12" spans="2:15" x14ac:dyDescent="0.25">
      <c r="B12" s="22"/>
      <c r="D12" s="5" t="s">
        <v>29</v>
      </c>
      <c r="E12" s="18">
        <f>(E27*E31+E28*E32+E29*E33)/(E31+E32+E33)</f>
        <v>10</v>
      </c>
      <c r="F12" s="18">
        <f t="shared" ref="F12:N12" si="2">(F27*F31+F28*F32+F29*F33)/(F31+F32+F33)</f>
        <v>10.620437956204379</v>
      </c>
      <c r="G12" s="18">
        <f t="shared" si="2"/>
        <v>11.534883720930232</v>
      </c>
      <c r="H12" s="18">
        <f t="shared" si="2"/>
        <v>10.446511627906977</v>
      </c>
      <c r="I12" s="18">
        <f t="shared" si="2"/>
        <v>11.027906976744188</v>
      </c>
      <c r="J12" s="18">
        <f t="shared" si="2"/>
        <v>10.930232558139535</v>
      </c>
      <c r="K12" s="18">
        <f t="shared" si="2"/>
        <v>10.523255813953488</v>
      </c>
      <c r="L12" s="18">
        <f t="shared" si="2"/>
        <v>11.104651162790697</v>
      </c>
      <c r="M12" s="18">
        <f t="shared" si="2"/>
        <v>16.334069767441861</v>
      </c>
      <c r="N12" s="18">
        <f t="shared" si="2"/>
        <v>11.104651162790697</v>
      </c>
      <c r="O12" s="19">
        <f>O13/O7</f>
        <v>11.318214676889374</v>
      </c>
    </row>
    <row r="13" spans="2:15" x14ac:dyDescent="0.25">
      <c r="B13" s="22"/>
      <c r="D13" s="5" t="s">
        <v>30</v>
      </c>
      <c r="E13" s="3">
        <f>E12*E7</f>
        <v>880</v>
      </c>
      <c r="F13" s="3">
        <f>F12*F7</f>
        <v>1454.9999999999998</v>
      </c>
      <c r="G13" s="3">
        <f>G12*G7</f>
        <v>991.99999999999989</v>
      </c>
      <c r="H13" s="3">
        <f t="shared" ref="H13:N13" si="3">H12*H7</f>
        <v>898.40000000000009</v>
      </c>
      <c r="I13" s="3">
        <f t="shared" si="3"/>
        <v>948.40000000000009</v>
      </c>
      <c r="J13" s="3">
        <f t="shared" si="3"/>
        <v>940</v>
      </c>
      <c r="K13" s="3">
        <f t="shared" si="3"/>
        <v>905</v>
      </c>
      <c r="L13" s="3">
        <f t="shared" si="3"/>
        <v>954.99999999999989</v>
      </c>
      <c r="M13" s="3">
        <f t="shared" si="3"/>
        <v>1404.73</v>
      </c>
      <c r="N13" s="3">
        <f t="shared" si="3"/>
        <v>954.99999999999989</v>
      </c>
      <c r="O13" s="15">
        <f>SUM(E13:N13)</f>
        <v>10333.529999999999</v>
      </c>
    </row>
    <row r="14" spans="2:15" x14ac:dyDescent="0.25">
      <c r="B14" s="22"/>
      <c r="O14" s="12"/>
    </row>
    <row r="15" spans="2:15" x14ac:dyDescent="0.25">
      <c r="B15" s="22"/>
      <c r="D15" s="5" t="s">
        <v>31</v>
      </c>
      <c r="E15" s="3">
        <f>E10-E13</f>
        <v>7040</v>
      </c>
      <c r="F15" s="3">
        <f>F10-F13</f>
        <v>7176</v>
      </c>
      <c r="G15" s="3">
        <f>G10-G13</f>
        <v>2964</v>
      </c>
      <c r="H15" s="3">
        <f t="shared" ref="H15:N15" si="4">H10-H13</f>
        <v>4777.6000000000004</v>
      </c>
      <c r="I15" s="3">
        <f t="shared" si="4"/>
        <v>2319.6</v>
      </c>
      <c r="J15" s="3">
        <f t="shared" si="4"/>
        <v>3876</v>
      </c>
      <c r="K15" s="3">
        <f t="shared" si="4"/>
        <v>7093</v>
      </c>
      <c r="L15" s="3">
        <f t="shared" si="4"/>
        <v>5151</v>
      </c>
      <c r="M15" s="3">
        <f t="shared" si="4"/>
        <v>2981.27</v>
      </c>
      <c r="N15" s="3">
        <f t="shared" si="4"/>
        <v>6785</v>
      </c>
      <c r="O15" s="15">
        <f>O10-O13</f>
        <v>50163.47</v>
      </c>
    </row>
    <row r="16" spans="2:15" ht="15.75" thickBot="1" x14ac:dyDescent="0.3">
      <c r="B16" s="22"/>
      <c r="D16" s="5" t="s">
        <v>32</v>
      </c>
      <c r="E16" s="4">
        <f>E15/E10</f>
        <v>0.88888888888888884</v>
      </c>
      <c r="F16" s="4">
        <f>F15/F10</f>
        <v>0.83142161974278761</v>
      </c>
      <c r="G16" s="4">
        <f>G15/G10</f>
        <v>0.74924165824064715</v>
      </c>
      <c r="H16" s="4">
        <f t="shared" ref="H16:N16" si="5">H15/H10</f>
        <v>0.84171952078928824</v>
      </c>
      <c r="I16" s="4">
        <f t="shared" si="5"/>
        <v>0.70979192166462668</v>
      </c>
      <c r="J16" s="4">
        <f t="shared" si="5"/>
        <v>0.80481727574750828</v>
      </c>
      <c r="K16" s="4">
        <f t="shared" si="5"/>
        <v>0.88684671167791951</v>
      </c>
      <c r="L16" s="4">
        <f t="shared" si="5"/>
        <v>0.8435964624959057</v>
      </c>
      <c r="M16" s="4">
        <f t="shared" si="5"/>
        <v>0.67972412220702239</v>
      </c>
      <c r="N16" s="4">
        <f t="shared" si="5"/>
        <v>0.87661498708010333</v>
      </c>
      <c r="O16" s="16">
        <f>O15/O10</f>
        <v>0.82918938129163433</v>
      </c>
    </row>
    <row r="17" spans="2:16" x14ac:dyDescent="0.25">
      <c r="E17" s="21"/>
      <c r="F17" s="21"/>
      <c r="G17" s="21"/>
      <c r="H17" s="21"/>
      <c r="I17" s="21"/>
      <c r="J17" s="21"/>
      <c r="K17" s="21"/>
      <c r="L17" s="21"/>
      <c r="M17" s="21"/>
      <c r="N17" s="21"/>
    </row>
    <row r="18" spans="2:16" x14ac:dyDescent="0.25"/>
    <row r="19" spans="2:16" x14ac:dyDescent="0.25">
      <c r="B19" s="23" t="s">
        <v>11</v>
      </c>
      <c r="D19" s="5" t="s">
        <v>10</v>
      </c>
      <c r="E19" s="9">
        <v>80</v>
      </c>
      <c r="F19" s="9">
        <v>125</v>
      </c>
      <c r="G19" s="9">
        <v>79</v>
      </c>
      <c r="H19" s="9">
        <v>79</v>
      </c>
      <c r="I19" s="9">
        <v>79</v>
      </c>
      <c r="J19" s="9">
        <v>79</v>
      </c>
      <c r="K19" s="9">
        <v>79</v>
      </c>
      <c r="L19" s="9">
        <v>79</v>
      </c>
      <c r="M19" s="9">
        <v>79</v>
      </c>
      <c r="N19" s="9">
        <v>79</v>
      </c>
      <c r="P19" s="8"/>
    </row>
    <row r="20" spans="2:16" x14ac:dyDescent="0.25">
      <c r="B20" s="23"/>
      <c r="D20" s="5" t="s">
        <v>4</v>
      </c>
      <c r="E20" s="10">
        <v>0.1</v>
      </c>
      <c r="F20" s="10">
        <v>0.1</v>
      </c>
      <c r="G20" s="10">
        <v>0.1</v>
      </c>
      <c r="H20" s="10">
        <v>0.1</v>
      </c>
      <c r="I20" s="10">
        <v>0.1</v>
      </c>
      <c r="J20" s="10">
        <v>0.1</v>
      </c>
      <c r="K20" s="10">
        <v>0.1</v>
      </c>
      <c r="L20" s="10">
        <v>0.1</v>
      </c>
      <c r="M20" s="10">
        <v>0.1</v>
      </c>
      <c r="N20" s="10">
        <v>0.1</v>
      </c>
      <c r="P20" s="7"/>
    </row>
    <row r="21" spans="2:16" x14ac:dyDescent="0.25">
      <c r="B21" s="23"/>
      <c r="D21" s="5" t="s">
        <v>9</v>
      </c>
      <c r="E21" s="10">
        <v>0.1</v>
      </c>
      <c r="F21" s="10">
        <v>0.1</v>
      </c>
      <c r="G21" s="10">
        <v>0.1</v>
      </c>
      <c r="H21" s="10">
        <v>0.1</v>
      </c>
      <c r="I21" s="10">
        <v>0.1</v>
      </c>
      <c r="J21" s="10">
        <v>0.1</v>
      </c>
      <c r="K21" s="10">
        <v>0.1</v>
      </c>
      <c r="L21" s="10">
        <v>0.1</v>
      </c>
      <c r="M21" s="10">
        <v>0.1</v>
      </c>
      <c r="N21" s="10">
        <v>0.1</v>
      </c>
      <c r="P21" s="7"/>
    </row>
    <row r="22" spans="2:16" x14ac:dyDescent="0.25">
      <c r="B22" s="23"/>
    </row>
    <row r="23" spans="2:16" x14ac:dyDescent="0.25">
      <c r="B23" s="23"/>
      <c r="D23" s="5" t="s">
        <v>23</v>
      </c>
      <c r="E23" s="1">
        <v>90</v>
      </c>
      <c r="F23" s="1">
        <v>120</v>
      </c>
      <c r="G23" s="1">
        <v>65</v>
      </c>
      <c r="H23" s="1">
        <v>70</v>
      </c>
      <c r="I23" s="1">
        <v>60</v>
      </c>
      <c r="J23" s="1">
        <v>70</v>
      </c>
      <c r="K23" s="1">
        <v>77</v>
      </c>
      <c r="L23" s="1">
        <v>67</v>
      </c>
      <c r="M23" s="1">
        <v>55</v>
      </c>
      <c r="N23" s="1">
        <v>67</v>
      </c>
    </row>
    <row r="24" spans="2:16" x14ac:dyDescent="0.25">
      <c r="B24" s="23"/>
      <c r="D24" s="5" t="s">
        <v>24</v>
      </c>
      <c r="E24" s="1">
        <v>20</v>
      </c>
      <c r="F24" s="1">
        <v>20</v>
      </c>
      <c r="G24" s="1">
        <v>20</v>
      </c>
      <c r="H24" s="1">
        <v>20</v>
      </c>
      <c r="I24" s="1">
        <v>20</v>
      </c>
      <c r="J24" s="1">
        <v>20</v>
      </c>
      <c r="K24" s="1">
        <v>20</v>
      </c>
      <c r="L24" s="1">
        <v>20</v>
      </c>
      <c r="M24" s="1">
        <v>20</v>
      </c>
      <c r="N24" s="1">
        <v>20</v>
      </c>
    </row>
    <row r="25" spans="2:16" x14ac:dyDescent="0.25">
      <c r="B25" s="23"/>
      <c r="D25" s="5" t="s">
        <v>25</v>
      </c>
      <c r="E25" s="1">
        <v>300</v>
      </c>
      <c r="F25" s="1">
        <v>200</v>
      </c>
      <c r="G25" s="1">
        <v>100</v>
      </c>
      <c r="H25" s="1">
        <v>300</v>
      </c>
      <c r="I25" s="1">
        <v>147</v>
      </c>
      <c r="J25" s="1">
        <v>123</v>
      </c>
      <c r="K25" s="1">
        <v>345</v>
      </c>
      <c r="L25" s="1">
        <v>321</v>
      </c>
      <c r="M25" s="1">
        <v>323</v>
      </c>
      <c r="N25" s="1">
        <v>123</v>
      </c>
    </row>
    <row r="26" spans="2:16" x14ac:dyDescent="0.25">
      <c r="B26" s="23"/>
    </row>
    <row r="27" spans="2:16" x14ac:dyDescent="0.25">
      <c r="B27" s="23"/>
      <c r="D27" s="5" t="s">
        <v>26</v>
      </c>
      <c r="E27" s="20">
        <v>10</v>
      </c>
      <c r="F27" s="20">
        <v>10</v>
      </c>
      <c r="G27" s="20">
        <v>10</v>
      </c>
      <c r="H27" s="20">
        <v>10</v>
      </c>
      <c r="I27" s="20">
        <v>10</v>
      </c>
      <c r="J27" s="20">
        <v>10</v>
      </c>
      <c r="K27" s="20">
        <v>10</v>
      </c>
      <c r="L27" s="20">
        <v>10</v>
      </c>
      <c r="M27" s="20">
        <v>10</v>
      </c>
      <c r="N27" s="20">
        <v>10</v>
      </c>
    </row>
    <row r="28" spans="2:16" x14ac:dyDescent="0.25">
      <c r="B28" s="23"/>
      <c r="D28" s="5" t="s">
        <v>27</v>
      </c>
      <c r="E28" s="20">
        <v>15</v>
      </c>
      <c r="F28" s="20">
        <v>15</v>
      </c>
      <c r="G28" s="20">
        <v>15</v>
      </c>
      <c r="H28" s="20">
        <v>15</v>
      </c>
      <c r="I28" s="20">
        <v>15</v>
      </c>
      <c r="J28" s="20">
        <v>15</v>
      </c>
      <c r="K28" s="20">
        <v>15</v>
      </c>
      <c r="L28" s="20">
        <v>15</v>
      </c>
      <c r="M28" s="20">
        <v>15</v>
      </c>
      <c r="N28" s="20">
        <v>15</v>
      </c>
    </row>
    <row r="29" spans="2:16" x14ac:dyDescent="0.25">
      <c r="B29" s="23"/>
      <c r="D29" s="5" t="s">
        <v>28</v>
      </c>
      <c r="E29" s="20">
        <v>87.33</v>
      </c>
      <c r="F29" s="20">
        <v>61.23</v>
      </c>
      <c r="G29" s="20">
        <v>42</v>
      </c>
      <c r="H29" s="20">
        <v>12.4</v>
      </c>
      <c r="I29" s="20">
        <v>13.4</v>
      </c>
      <c r="J29" s="20">
        <v>55</v>
      </c>
      <c r="K29" s="20">
        <v>92.57</v>
      </c>
      <c r="L29" s="20">
        <v>67.319999999999993</v>
      </c>
      <c r="M29" s="20">
        <v>50.43</v>
      </c>
      <c r="N29" s="20">
        <v>87.33</v>
      </c>
    </row>
    <row r="30" spans="2:16" x14ac:dyDescent="0.25">
      <c r="B30" s="23"/>
    </row>
    <row r="31" spans="2:16" x14ac:dyDescent="0.25">
      <c r="B31" s="23"/>
      <c r="D31" s="5" t="s">
        <v>20</v>
      </c>
      <c r="E31" s="17">
        <v>88</v>
      </c>
      <c r="F31" s="17">
        <v>120</v>
      </c>
      <c r="G31" s="17">
        <v>65</v>
      </c>
      <c r="H31" s="17">
        <v>70</v>
      </c>
      <c r="I31" s="17">
        <v>60</v>
      </c>
      <c r="J31" s="17">
        <v>70</v>
      </c>
      <c r="K31" s="17">
        <v>77</v>
      </c>
      <c r="L31" s="17">
        <v>67</v>
      </c>
      <c r="M31" s="17">
        <v>55</v>
      </c>
      <c r="N31" s="17">
        <v>67</v>
      </c>
    </row>
    <row r="32" spans="2:16" x14ac:dyDescent="0.25">
      <c r="B32" s="23"/>
      <c r="D32" s="5" t="s">
        <v>21</v>
      </c>
      <c r="E32" s="17">
        <v>0</v>
      </c>
      <c r="F32" s="17">
        <v>17</v>
      </c>
      <c r="G32" s="17">
        <v>20</v>
      </c>
      <c r="H32" s="17">
        <v>0</v>
      </c>
      <c r="I32" s="17">
        <v>0</v>
      </c>
      <c r="J32" s="17">
        <v>16</v>
      </c>
      <c r="K32" s="17">
        <v>9</v>
      </c>
      <c r="L32" s="17">
        <v>19</v>
      </c>
      <c r="M32" s="17">
        <v>20</v>
      </c>
      <c r="N32" s="17">
        <v>19</v>
      </c>
    </row>
    <row r="33" spans="2:14" x14ac:dyDescent="0.25">
      <c r="B33" s="23"/>
      <c r="D33" s="5" t="s">
        <v>22</v>
      </c>
      <c r="E33" s="17">
        <v>0</v>
      </c>
      <c r="F33" s="17">
        <v>0</v>
      </c>
      <c r="G33" s="17">
        <v>1</v>
      </c>
      <c r="H33" s="17">
        <v>16</v>
      </c>
      <c r="I33" s="17">
        <v>26</v>
      </c>
      <c r="J33" s="17">
        <v>0</v>
      </c>
      <c r="K33" s="17">
        <v>0</v>
      </c>
      <c r="L33" s="17">
        <v>0</v>
      </c>
      <c r="M33" s="17">
        <v>11</v>
      </c>
      <c r="N33" s="17">
        <v>0</v>
      </c>
    </row>
    <row r="34" spans="2:14" x14ac:dyDescent="0.25"/>
    <row r="35" spans="2:14" hidden="1" x14ac:dyDescent="0.25"/>
    <row r="36" spans="2:14" hidden="1" x14ac:dyDescent="0.25"/>
    <row r="37" spans="2:14" hidden="1" x14ac:dyDescent="0.25"/>
    <row r="38" spans="2:14" hidden="1" x14ac:dyDescent="0.25"/>
    <row r="39" spans="2:14" hidden="1" x14ac:dyDescent="0.25"/>
    <row r="40" spans="2:14" hidden="1" x14ac:dyDescent="0.25"/>
    <row r="41" spans="2:14" hidden="1" x14ac:dyDescent="0.25"/>
    <row r="42" spans="2:14" hidden="1" x14ac:dyDescent="0.25"/>
    <row r="43" spans="2:14" hidden="1" x14ac:dyDescent="0.25"/>
    <row r="44" spans="2:14" hidden="1" x14ac:dyDescent="0.25"/>
    <row r="45" spans="2:14" hidden="1" x14ac:dyDescent="0.25"/>
    <row r="46" spans="2:14" hidden="1" x14ac:dyDescent="0.25"/>
    <row r="47" spans="2:14" hidden="1" x14ac:dyDescent="0.25"/>
    <row r="48" spans="2:14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</sheetData>
  <mergeCells count="2">
    <mergeCell ref="B7:B16"/>
    <mergeCell ref="B19:B3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2_Click">
                <anchor moveWithCells="1" sizeWithCells="1">
                  <from>
                    <xdr:col>12</xdr:col>
                    <xdr:colOff>952500</xdr:colOff>
                    <xdr:row>0</xdr:row>
                    <xdr:rowOff>0</xdr:rowOff>
                  </from>
                  <to>
                    <xdr:col>14</xdr:col>
                    <xdr:colOff>962025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Facil</vt:lpstr>
      <vt:lpstr>Dificil</vt:lpstr>
      <vt:lpstr>Complexo</vt:lpstr>
      <vt:lpstr>Optma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2019-01-11T12:42:51Z</dcterms:created>
  <dcterms:modified xsi:type="dcterms:W3CDTF">2019-02-01T17:33:10Z</dcterms:modified>
</cp:coreProperties>
</file>