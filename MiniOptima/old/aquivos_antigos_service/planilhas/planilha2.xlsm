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Mini Optma\planilhas_finais_server\"/>
    </mc:Choice>
  </mc:AlternateContent>
  <xr:revisionPtr revIDLastSave="0" documentId="13_ncr:1_{57E8FA6F-4B62-4371-8718-A301B344A799}" xr6:coauthVersionLast="40" xr6:coauthVersionMax="40" xr10:uidLastSave="{00000000-0000-0000-0000-000000000000}"/>
  <bookViews>
    <workbookView xWindow="-120" yWindow="-120" windowWidth="24240" windowHeight="13290" xr2:uid="{E32C69A0-8C75-4275-A6FA-8C510BC87228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2" i="1"/>
  <c r="H3" i="1"/>
  <c r="H4" i="1"/>
  <c r="H5" i="1"/>
  <c r="H6" i="1"/>
  <c r="H7" i="1"/>
  <c r="H8" i="1"/>
  <c r="H9" i="1"/>
  <c r="H10" i="1"/>
  <c r="H11" i="1"/>
  <c r="H12" i="1"/>
  <c r="H13" i="1"/>
  <c r="H2" i="1"/>
  <c r="E3" i="1"/>
  <c r="E4" i="1"/>
  <c r="E5" i="1"/>
  <c r="E6" i="1"/>
  <c r="E7" i="1"/>
  <c r="E8" i="1"/>
  <c r="E9" i="1"/>
  <c r="E10" i="1"/>
  <c r="E11" i="1"/>
  <c r="E12" i="1"/>
  <c r="E13" i="1"/>
  <c r="E2" i="1"/>
  <c r="F13" i="1"/>
  <c r="F12" i="1"/>
  <c r="F11" i="1"/>
  <c r="F10" i="1"/>
  <c r="F9" i="1"/>
  <c r="F8" i="1"/>
  <c r="F7" i="1"/>
  <c r="F6" i="1"/>
  <c r="F5" i="1"/>
  <c r="F4" i="1"/>
  <c r="F3" i="1"/>
  <c r="F2" i="1"/>
  <c r="E14" i="1" l="1"/>
  <c r="F14" i="1"/>
  <c r="J16" i="1"/>
  <c r="H15" i="1"/>
</calcChain>
</file>

<file path=xl/sharedStrings.xml><?xml version="1.0" encoding="utf-8"?>
<sst xmlns="http://schemas.openxmlformats.org/spreadsheetml/2006/main" count="13" uniqueCount="10">
  <si>
    <t>Produto</t>
  </si>
  <si>
    <t>Custo Unt Produção</t>
  </si>
  <si>
    <t>lucro/custo</t>
  </si>
  <si>
    <t># Vendas</t>
  </si>
  <si>
    <t>Lucro</t>
  </si>
  <si>
    <t>Total</t>
  </si>
  <si>
    <t>Custo</t>
  </si>
  <si>
    <t>Meta Lucro</t>
  </si>
  <si>
    <t>Meta Custo</t>
  </si>
  <si>
    <t xml:space="preserve"># Vendas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</si>
</sst>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44" fontId="0" fillId="0" borderId="0" xfId="2" applyFont="1"/>
    <xf numFmtId="9" fontId="0" fillId="0" borderId="0" xfId="3" applyFont="1"/>
    <xf numFmtId="0" fontId="2" fillId="0" borderId="0" xfId="0" applyFont="1" applyAlignment="1">
      <alignment horizontal="right" vertical="center"/>
    </xf>
    <xf numFmtId="0" fontId="2" fillId="0" borderId="0" xfId="0" applyFont="1" applyFill="1" applyAlignment="1">
      <alignment horizontal="right"/>
    </xf>
    <xf numFmtId="0" fontId="0" fillId="0" borderId="0" xfId="0" applyFill="1"/>
    <xf numFmtId="0" fontId="0" fillId="2" borderId="2" xfId="0" applyFill="1" applyBorder="1"/>
    <xf numFmtId="0" fontId="2" fillId="2" borderId="4" xfId="0" applyFont="1" applyFill="1" applyBorder="1" applyAlignment="1">
      <alignment horizontal="right" vertical="center"/>
    </xf>
    <xf numFmtId="0" fontId="0" fillId="2" borderId="0" xfId="0" applyFill="1" applyBorder="1"/>
    <xf numFmtId="0" fontId="2" fillId="2" borderId="3" xfId="0" applyFont="1" applyFill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44" fontId="2" fillId="2" borderId="5" xfId="2" applyFont="1" applyFill="1" applyBorder="1" applyAlignment="1">
      <alignment horizontal="center" vertical="center"/>
    </xf>
    <xf numFmtId="9" fontId="2" fillId="2" borderId="5" xfId="3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" fontId="2" fillId="2" borderId="4" xfId="1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44" fontId="2" fillId="2" borderId="3" xfId="2" applyFont="1" applyFill="1" applyBorder="1" applyAlignment="1">
      <alignment horizontal="right" vertical="center"/>
    </xf>
    <xf numFmtId="44" fontId="0" fillId="2" borderId="7" xfId="0" applyNumberFormat="1" applyFill="1" applyBorder="1"/>
    <xf numFmtId="44" fontId="0" fillId="3" borderId="7" xfId="2" applyFont="1" applyFill="1" applyBorder="1" applyAlignment="1">
      <alignment horizontal="center"/>
    </xf>
    <xf numFmtId="44" fontId="0" fillId="2" borderId="7" xfId="2" applyFont="1" applyFill="1" applyBorder="1"/>
    <xf numFmtId="1" fontId="0" fillId="2" borderId="1" xfId="1" applyNumberFormat="1" applyFont="1" applyFill="1" applyBorder="1"/>
    <xf numFmtId="1" fontId="3" fillId="2" borderId="1" xfId="1" applyNumberFormat="1" applyFont="1" applyFill="1" applyBorder="1" applyAlignment="1">
      <alignment horizontal="center"/>
    </xf>
    <xf numFmtId="1" fontId="3" fillId="2" borderId="0" xfId="0" applyNumberFormat="1" applyFont="1" applyFill="1" applyBorder="1" applyAlignment="1">
      <alignment horizontal="center"/>
    </xf>
    <xf numFmtId="44" fontId="3" fillId="2" borderId="2" xfId="2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44" fontId="0" fillId="2" borderId="0" xfId="2" applyFont="1" applyFill="1" applyAlignment="1">
      <alignment horizontal="center"/>
    </xf>
    <xf numFmtId="9" fontId="0" fillId="2" borderId="0" xfId="3" applyFont="1" applyFill="1" applyAlignment="1">
      <alignment horizontal="center"/>
    </xf>
    <xf numFmtId="0" fontId="4" fillId="2" borderId="0" xfId="0" applyFont="1" applyFill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3" fillId="2" borderId="2" xfId="0" applyNumberFormat="1" applyFont="1" applyFill="1" applyBorder="1" applyAlignment="1">
      <alignment horizontal="center"/>
    </xf>
    <xf numFmtId="1" fontId="2" fillId="2" borderId="5" xfId="1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44" fontId="0" fillId="2" borderId="8" xfId="2" applyFont="1" applyFill="1" applyBorder="1" applyAlignment="1">
      <alignment vertical="center"/>
    </xf>
    <xf numFmtId="44" fontId="0" fillId="2" borderId="8" xfId="2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44" fontId="0" fillId="2" borderId="7" xfId="2" applyFont="1" applyFill="1" applyBorder="1" applyAlignment="1">
      <alignment horizontal="center"/>
    </xf>
    <xf numFmtId="9" fontId="0" fillId="2" borderId="7" xfId="3" applyFont="1" applyFill="1" applyBorder="1" applyAlignment="1">
      <alignment horizontal="center"/>
    </xf>
    <xf numFmtId="7" fontId="0" fillId="0" borderId="0" xfId="0" applyNumberForma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0</xdr:rowOff>
        </xdr:from>
        <xdr:to>
          <xdr:col>14</xdr:col>
          <xdr:colOff>19050</xdr:colOff>
          <xdr:row>2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0DE70-2B1C-468D-BE68-BC6D2797C82B}">
  <sheetPr codeName="Sheet1"/>
  <dimension ref="A1:J18"/>
  <sheetViews>
    <sheetView tabSelected="1" workbookViewId="0">
      <selection activeCell="I2" sqref="I2:I13"/>
    </sheetView>
  </sheetViews>
  <sheetFormatPr defaultRowHeight="15" x14ac:dyDescent="0.25"/>
  <cols>
    <col min="1" max="1" width="10.85546875" bestFit="1" customWidth="1"/>
    <col min="2" max="2" width="20.140625" bestFit="1" customWidth="1"/>
    <col min="3" max="3" width="11" bestFit="1" customWidth="1"/>
    <col min="4" max="4" width="10.5703125" bestFit="1" customWidth="1"/>
    <col min="5" max="7" width="12.140625" bestFit="1" customWidth="1"/>
    <col min="8" max="8" width="13.28515625" bestFit="1" customWidth="1"/>
    <col min="9" max="10" width="12.140625" bestFit="1" customWidth="1"/>
  </cols>
  <sheetData>
    <row r="1" spans="1:10" x14ac:dyDescent="0.25">
      <c r="A1" s="10" t="s">
        <v>0</v>
      </c>
      <c r="B1" s="11" t="s">
        <v>1</v>
      </c>
      <c r="C1" s="12" t="s">
        <v>2</v>
      </c>
      <c r="D1" s="13" t="s">
        <v>3</v>
      </c>
      <c r="E1" s="10" t="s">
        <v>6</v>
      </c>
      <c r="F1" s="11" t="s">
        <v>4</v>
      </c>
      <c r="G1" s="14" t="s">
        <v>9</v>
      </c>
      <c r="H1" s="31" t="s">
        <v>6</v>
      </c>
      <c r="I1" s="30" t="s">
        <v>9</v>
      </c>
      <c r="J1" s="15" t="s">
        <v>4</v>
      </c>
    </row>
    <row r="2" spans="1:10" x14ac:dyDescent="0.25">
      <c r="A2" s="24">
        <v>1</v>
      </c>
      <c r="B2" s="25">
        <v>30</v>
      </c>
      <c r="C2" s="26">
        <v>0.25</v>
      </c>
      <c r="D2" s="27">
        <v>15</v>
      </c>
      <c r="E2" s="28">
        <f>D2*B2</f>
        <v>450</v>
      </c>
      <c r="F2" s="25">
        <f t="shared" ref="F2:F13" si="0">D2*B2*(C2)</f>
        <v>112.5</v>
      </c>
      <c r="G2" s="21"/>
      <c r="H2" s="29">
        <f>G2*B2</f>
        <v>0</v>
      </c>
      <c r="I2" s="22"/>
      <c r="J2" s="23">
        <f>I2*B2*C2</f>
        <v>0</v>
      </c>
    </row>
    <row r="3" spans="1:10" x14ac:dyDescent="0.25">
      <c r="A3" s="24">
        <v>2</v>
      </c>
      <c r="B3" s="25">
        <v>20</v>
      </c>
      <c r="C3" s="26">
        <v>0.21</v>
      </c>
      <c r="D3" s="27">
        <v>12</v>
      </c>
      <c r="E3" s="28">
        <f t="shared" ref="E3:E13" si="1">D3*B3</f>
        <v>240</v>
      </c>
      <c r="F3" s="25">
        <f t="shared" si="0"/>
        <v>50.4</v>
      </c>
      <c r="G3" s="21"/>
      <c r="H3" s="29">
        <f t="shared" ref="H3:H13" si="2">G3*B3</f>
        <v>0</v>
      </c>
      <c r="I3" s="22"/>
      <c r="J3" s="23">
        <f t="shared" ref="J3:J13" si="3">I3*B3*C3</f>
        <v>0</v>
      </c>
    </row>
    <row r="4" spans="1:10" x14ac:dyDescent="0.25">
      <c r="A4" s="24">
        <v>3</v>
      </c>
      <c r="B4" s="25">
        <v>40</v>
      </c>
      <c r="C4" s="26">
        <v>0.34</v>
      </c>
      <c r="D4" s="27">
        <v>10</v>
      </c>
      <c r="E4" s="28">
        <f t="shared" si="1"/>
        <v>400</v>
      </c>
      <c r="F4" s="25">
        <f t="shared" si="0"/>
        <v>136</v>
      </c>
      <c r="G4" s="21"/>
      <c r="H4" s="29">
        <f t="shared" si="2"/>
        <v>0</v>
      </c>
      <c r="I4" s="22"/>
      <c r="J4" s="23">
        <f t="shared" si="3"/>
        <v>0</v>
      </c>
    </row>
    <row r="5" spans="1:10" x14ac:dyDescent="0.25">
      <c r="A5" s="24">
        <v>4</v>
      </c>
      <c r="B5" s="25">
        <v>30</v>
      </c>
      <c r="C5" s="26">
        <v>0.3</v>
      </c>
      <c r="D5" s="27">
        <v>16</v>
      </c>
      <c r="E5" s="28">
        <f t="shared" si="1"/>
        <v>480</v>
      </c>
      <c r="F5" s="25">
        <f t="shared" si="0"/>
        <v>144</v>
      </c>
      <c r="G5" s="21"/>
      <c r="H5" s="29">
        <f t="shared" si="2"/>
        <v>0</v>
      </c>
      <c r="I5" s="22"/>
      <c r="J5" s="23">
        <f t="shared" si="3"/>
        <v>0</v>
      </c>
    </row>
    <row r="6" spans="1:10" x14ac:dyDescent="0.25">
      <c r="A6" s="24">
        <v>5</v>
      </c>
      <c r="B6" s="25">
        <v>50</v>
      </c>
      <c r="C6" s="26">
        <v>0.28999999999999998</v>
      </c>
      <c r="D6" s="27">
        <v>20</v>
      </c>
      <c r="E6" s="28">
        <f t="shared" si="1"/>
        <v>1000</v>
      </c>
      <c r="F6" s="25">
        <f t="shared" si="0"/>
        <v>290</v>
      </c>
      <c r="G6" s="21"/>
      <c r="H6" s="29">
        <f t="shared" si="2"/>
        <v>0</v>
      </c>
      <c r="I6" s="22"/>
      <c r="J6" s="23">
        <f t="shared" si="3"/>
        <v>0</v>
      </c>
    </row>
    <row r="7" spans="1:10" x14ac:dyDescent="0.25">
      <c r="A7" s="24">
        <v>6</v>
      </c>
      <c r="B7" s="25">
        <v>60</v>
      </c>
      <c r="C7" s="26">
        <v>0.15</v>
      </c>
      <c r="D7" s="27">
        <v>30</v>
      </c>
      <c r="E7" s="28">
        <f t="shared" si="1"/>
        <v>1800</v>
      </c>
      <c r="F7" s="25">
        <f t="shared" si="0"/>
        <v>270</v>
      </c>
      <c r="G7" s="21"/>
      <c r="H7" s="29">
        <f t="shared" si="2"/>
        <v>0</v>
      </c>
      <c r="I7" s="22"/>
      <c r="J7" s="23">
        <f t="shared" si="3"/>
        <v>0</v>
      </c>
    </row>
    <row r="8" spans="1:10" x14ac:dyDescent="0.25">
      <c r="A8" s="24">
        <v>7</v>
      </c>
      <c r="B8" s="25">
        <v>15</v>
      </c>
      <c r="C8" s="26">
        <v>0.25</v>
      </c>
      <c r="D8" s="27">
        <v>20</v>
      </c>
      <c r="E8" s="28">
        <f t="shared" si="1"/>
        <v>300</v>
      </c>
      <c r="F8" s="25">
        <f t="shared" si="0"/>
        <v>75</v>
      </c>
      <c r="G8" s="21"/>
      <c r="H8" s="29">
        <f t="shared" si="2"/>
        <v>0</v>
      </c>
      <c r="I8" s="22"/>
      <c r="J8" s="23">
        <f t="shared" si="3"/>
        <v>0</v>
      </c>
    </row>
    <row r="9" spans="1:10" x14ac:dyDescent="0.25">
      <c r="A9" s="24">
        <v>8</v>
      </c>
      <c r="B9" s="25">
        <v>18</v>
      </c>
      <c r="C9" s="26">
        <v>0.12</v>
      </c>
      <c r="D9" s="27">
        <v>100</v>
      </c>
      <c r="E9" s="28">
        <f t="shared" si="1"/>
        <v>1800</v>
      </c>
      <c r="F9" s="25">
        <f t="shared" si="0"/>
        <v>216</v>
      </c>
      <c r="G9" s="21"/>
      <c r="H9" s="29">
        <f t="shared" si="2"/>
        <v>0</v>
      </c>
      <c r="I9" s="22"/>
      <c r="J9" s="23">
        <f t="shared" si="3"/>
        <v>0</v>
      </c>
    </row>
    <row r="10" spans="1:10" x14ac:dyDescent="0.25">
      <c r="A10" s="24">
        <v>9</v>
      </c>
      <c r="B10" s="25">
        <v>26</v>
      </c>
      <c r="C10" s="26">
        <v>0.26</v>
      </c>
      <c r="D10" s="27">
        <v>50</v>
      </c>
      <c r="E10" s="28">
        <f t="shared" si="1"/>
        <v>1300</v>
      </c>
      <c r="F10" s="25">
        <f t="shared" si="0"/>
        <v>338</v>
      </c>
      <c r="G10" s="21"/>
      <c r="H10" s="29">
        <f t="shared" si="2"/>
        <v>0</v>
      </c>
      <c r="I10" s="22"/>
      <c r="J10" s="23">
        <f t="shared" si="3"/>
        <v>0</v>
      </c>
    </row>
    <row r="11" spans="1:10" x14ac:dyDescent="0.25">
      <c r="A11" s="24">
        <v>10</v>
      </c>
      <c r="B11" s="25">
        <v>31</v>
      </c>
      <c r="C11" s="26">
        <v>0.31</v>
      </c>
      <c r="D11" s="27">
        <v>12</v>
      </c>
      <c r="E11" s="28">
        <f t="shared" si="1"/>
        <v>372</v>
      </c>
      <c r="F11" s="25">
        <f t="shared" si="0"/>
        <v>115.32</v>
      </c>
      <c r="G11" s="21"/>
      <c r="H11" s="29">
        <f t="shared" si="2"/>
        <v>0</v>
      </c>
      <c r="I11" s="22"/>
      <c r="J11" s="23">
        <f t="shared" si="3"/>
        <v>0</v>
      </c>
    </row>
    <row r="12" spans="1:10" x14ac:dyDescent="0.25">
      <c r="A12" s="24">
        <v>11</v>
      </c>
      <c r="B12" s="25">
        <v>10</v>
      </c>
      <c r="C12" s="26">
        <v>0.28999999999999998</v>
      </c>
      <c r="D12" s="27">
        <v>50</v>
      </c>
      <c r="E12" s="28">
        <f t="shared" si="1"/>
        <v>500</v>
      </c>
      <c r="F12" s="25">
        <f t="shared" si="0"/>
        <v>145</v>
      </c>
      <c r="G12" s="21"/>
      <c r="H12" s="29">
        <f t="shared" si="2"/>
        <v>0</v>
      </c>
      <c r="I12" s="22"/>
      <c r="J12" s="23">
        <f t="shared" si="3"/>
        <v>0</v>
      </c>
    </row>
    <row r="13" spans="1:10" x14ac:dyDescent="0.25">
      <c r="A13" s="34">
        <v>12</v>
      </c>
      <c r="B13" s="35">
        <v>45</v>
      </c>
      <c r="C13" s="36">
        <v>0.3</v>
      </c>
      <c r="D13" s="27">
        <v>15</v>
      </c>
      <c r="E13" s="28">
        <f t="shared" si="1"/>
        <v>675</v>
      </c>
      <c r="F13" s="25">
        <f t="shared" si="0"/>
        <v>202.5</v>
      </c>
      <c r="G13" s="21"/>
      <c r="H13" s="29">
        <f t="shared" si="2"/>
        <v>0</v>
      </c>
      <c r="I13" s="22"/>
      <c r="J13" s="23">
        <f t="shared" si="3"/>
        <v>0</v>
      </c>
    </row>
    <row r="14" spans="1:10" x14ac:dyDescent="0.25">
      <c r="A14" s="3"/>
      <c r="B14" s="1"/>
      <c r="C14" s="2"/>
      <c r="D14" s="7" t="s">
        <v>5</v>
      </c>
      <c r="E14" s="17">
        <f>SUM(E2:E13)</f>
        <v>9317</v>
      </c>
      <c r="F14" s="19">
        <f>SUM(F2:F13)</f>
        <v>2094.7200000000003</v>
      </c>
      <c r="G14" s="20"/>
      <c r="H14" s="6"/>
      <c r="I14" s="8"/>
      <c r="J14" s="6"/>
    </row>
    <row r="15" spans="1:10" x14ac:dyDescent="0.25">
      <c r="B15" s="1"/>
      <c r="C15" s="2"/>
      <c r="F15" s="16" t="s">
        <v>7</v>
      </c>
      <c r="G15" s="18">
        <v>2502.4</v>
      </c>
      <c r="H15" s="32">
        <f>SUM(H2:H13)</f>
        <v>0</v>
      </c>
      <c r="I15" s="8"/>
      <c r="J15" s="6"/>
    </row>
    <row r="16" spans="1:10" x14ac:dyDescent="0.25">
      <c r="H16" s="9" t="s">
        <v>8</v>
      </c>
      <c r="I16" s="18">
        <v>9000</v>
      </c>
      <c r="J16" s="33">
        <f>SUM(J2:J13)</f>
        <v>0</v>
      </c>
    </row>
    <row r="17" spans="7:8" x14ac:dyDescent="0.25">
      <c r="G17" s="4"/>
      <c r="H17" s="5"/>
    </row>
    <row r="18" spans="7:8" x14ac:dyDescent="0.25">
      <c r="G18" s="3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11</xdr:col>
                <xdr:colOff>19050</xdr:colOff>
                <xdr:row>0</xdr:row>
                <xdr:rowOff>0</xdr:rowOff>
              </from>
              <to>
                <xdr:col>14</xdr:col>
                <xdr:colOff>19050</xdr:colOff>
                <xdr:row>2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2019-01-11T13:03:41Z</dcterms:created>
  <dcterms:modified xsi:type="dcterms:W3CDTF">2019-01-28T16:20:02Z</dcterms:modified>
</cp:coreProperties>
</file>